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cofarmsptyltd.sharepoint.com/sites/Sales/docq/Avail Lists/Wholesale Produce Availability/"/>
    </mc:Choice>
  </mc:AlternateContent>
  <xr:revisionPtr revIDLastSave="895" documentId="8_{EB0BDE78-162E-48FB-8DA9-799B247A1CF3}" xr6:coauthVersionLast="47" xr6:coauthVersionMax="47" xr10:uidLastSave="{2E8346D0-4057-43C5-9F53-4431ECA349F0}"/>
  <workbookProtection lockStructure="1"/>
  <bookViews>
    <workbookView xWindow="-120" yWindow="-120" windowWidth="21840" windowHeight="13140" xr2:uid="{00000000-000D-0000-FFFF-FFFF00000000}"/>
  </bookViews>
  <sheets>
    <sheet name="Avail List" sheetId="1" r:id="rId1"/>
    <sheet name="Office Use Only &gt;&gt;" sheetId="2" r:id="rId2"/>
    <sheet name="B1 B2B" sheetId="3" r:id="rId3"/>
  </sheets>
  <definedNames>
    <definedName name="_xlnm._FilterDatabase" localSheetId="0" hidden="1">'Avail List'!$A$11:$J$389</definedName>
    <definedName name="_xlnm.Print_Area" localSheetId="0">'Avail List'!$A$1:$J$389</definedName>
    <definedName name="_xlnm.Print_Titles" localSheetId="0">'Avail List'!$11:$11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C4" i="3"/>
  <c r="D4" i="3"/>
  <c r="E4" i="3"/>
  <c r="F4" i="3"/>
  <c r="I4" i="3"/>
  <c r="J4" i="3"/>
  <c r="A5" i="3"/>
  <c r="C5" i="3"/>
  <c r="D5" i="3"/>
  <c r="E5" i="3"/>
  <c r="F5" i="3"/>
  <c r="I5" i="3"/>
  <c r="J5" i="3"/>
  <c r="A6" i="3"/>
  <c r="C6" i="3"/>
  <c r="D6" i="3"/>
  <c r="E6" i="3"/>
  <c r="F6" i="3"/>
  <c r="I6" i="3"/>
  <c r="J6" i="3"/>
  <c r="A7" i="3"/>
  <c r="C7" i="3"/>
  <c r="D7" i="3"/>
  <c r="E7" i="3"/>
  <c r="F7" i="3"/>
  <c r="I7" i="3"/>
  <c r="J7" i="3"/>
  <c r="A8" i="3"/>
  <c r="C8" i="3"/>
  <c r="D8" i="3"/>
  <c r="E8" i="3"/>
  <c r="F8" i="3"/>
  <c r="I8" i="3"/>
  <c r="J8" i="3"/>
  <c r="A9" i="3"/>
  <c r="C9" i="3"/>
  <c r="D9" i="3"/>
  <c r="E9" i="3"/>
  <c r="F9" i="3"/>
  <c r="I9" i="3"/>
  <c r="J9" i="3"/>
  <c r="A10" i="3"/>
  <c r="C10" i="3"/>
  <c r="D10" i="3"/>
  <c r="E10" i="3"/>
  <c r="F10" i="3"/>
  <c r="I10" i="3"/>
  <c r="J10" i="3"/>
  <c r="A11" i="3"/>
  <c r="C11" i="3"/>
  <c r="D11" i="3"/>
  <c r="E11" i="3"/>
  <c r="F11" i="3"/>
  <c r="I11" i="3"/>
  <c r="J11" i="3"/>
  <c r="A12" i="3"/>
  <c r="C12" i="3"/>
  <c r="D12" i="3"/>
  <c r="E12" i="3"/>
  <c r="F12" i="3"/>
  <c r="I12" i="3"/>
  <c r="J12" i="3"/>
  <c r="A13" i="3"/>
  <c r="C13" i="3"/>
  <c r="D13" i="3"/>
  <c r="E13" i="3"/>
  <c r="F13" i="3"/>
  <c r="I13" i="3"/>
  <c r="J13" i="3"/>
  <c r="A14" i="3"/>
  <c r="C14" i="3"/>
  <c r="D14" i="3"/>
  <c r="E14" i="3"/>
  <c r="F14" i="3"/>
  <c r="I14" i="3"/>
  <c r="J14" i="3"/>
  <c r="A15" i="3"/>
  <c r="C15" i="3"/>
  <c r="D15" i="3"/>
  <c r="E15" i="3"/>
  <c r="F15" i="3"/>
  <c r="I15" i="3"/>
  <c r="J15" i="3"/>
  <c r="A16" i="3"/>
  <c r="C16" i="3"/>
  <c r="D16" i="3"/>
  <c r="E16" i="3"/>
  <c r="F16" i="3"/>
  <c r="I16" i="3"/>
  <c r="J16" i="3"/>
  <c r="A17" i="3"/>
  <c r="C17" i="3"/>
  <c r="D17" i="3"/>
  <c r="E17" i="3"/>
  <c r="F17" i="3"/>
  <c r="I17" i="3"/>
  <c r="J17" i="3"/>
  <c r="A18" i="3"/>
  <c r="C18" i="3"/>
  <c r="D18" i="3"/>
  <c r="E18" i="3"/>
  <c r="F18" i="3"/>
  <c r="I18" i="3"/>
  <c r="J18" i="3"/>
  <c r="A19" i="3"/>
  <c r="C19" i="3"/>
  <c r="D19" i="3"/>
  <c r="E19" i="3"/>
  <c r="F19" i="3"/>
  <c r="I19" i="3"/>
  <c r="J19" i="3"/>
  <c r="A20" i="3"/>
  <c r="C20" i="3"/>
  <c r="D20" i="3"/>
  <c r="E20" i="3"/>
  <c r="F20" i="3"/>
  <c r="I20" i="3"/>
  <c r="J20" i="3"/>
  <c r="A21" i="3"/>
  <c r="C21" i="3"/>
  <c r="D21" i="3"/>
  <c r="E21" i="3"/>
  <c r="F21" i="3"/>
  <c r="I21" i="3"/>
  <c r="J21" i="3"/>
  <c r="A22" i="3"/>
  <c r="C22" i="3"/>
  <c r="D22" i="3"/>
  <c r="E22" i="3"/>
  <c r="F22" i="3"/>
  <c r="I22" i="3"/>
  <c r="J22" i="3"/>
  <c r="A23" i="3"/>
  <c r="C23" i="3"/>
  <c r="D23" i="3"/>
  <c r="E23" i="3"/>
  <c r="F23" i="3"/>
  <c r="I23" i="3"/>
  <c r="J23" i="3"/>
  <c r="A24" i="3"/>
  <c r="C24" i="3"/>
  <c r="D24" i="3"/>
  <c r="E24" i="3"/>
  <c r="F24" i="3"/>
  <c r="I24" i="3"/>
  <c r="J24" i="3"/>
  <c r="A25" i="3"/>
  <c r="C25" i="3"/>
  <c r="D25" i="3"/>
  <c r="E25" i="3"/>
  <c r="F25" i="3"/>
  <c r="I25" i="3"/>
  <c r="J25" i="3"/>
  <c r="A26" i="3"/>
  <c r="C26" i="3"/>
  <c r="D26" i="3"/>
  <c r="E26" i="3"/>
  <c r="F26" i="3"/>
  <c r="I26" i="3"/>
  <c r="J26" i="3"/>
  <c r="A27" i="3"/>
  <c r="C27" i="3"/>
  <c r="D27" i="3"/>
  <c r="E27" i="3"/>
  <c r="F27" i="3"/>
  <c r="I27" i="3"/>
  <c r="J27" i="3"/>
  <c r="A28" i="3"/>
  <c r="C28" i="3"/>
  <c r="D28" i="3"/>
  <c r="E28" i="3"/>
  <c r="F28" i="3"/>
  <c r="I28" i="3"/>
  <c r="J28" i="3"/>
  <c r="A29" i="3"/>
  <c r="C29" i="3"/>
  <c r="D29" i="3"/>
  <c r="E29" i="3"/>
  <c r="F29" i="3"/>
  <c r="I29" i="3"/>
  <c r="J29" i="3"/>
  <c r="A30" i="3"/>
  <c r="C30" i="3"/>
  <c r="D30" i="3"/>
  <c r="E30" i="3"/>
  <c r="F30" i="3"/>
  <c r="I30" i="3"/>
  <c r="J30" i="3"/>
  <c r="A31" i="3"/>
  <c r="C31" i="3"/>
  <c r="D31" i="3"/>
  <c r="E31" i="3"/>
  <c r="F31" i="3"/>
  <c r="I31" i="3"/>
  <c r="J31" i="3"/>
  <c r="A32" i="3"/>
  <c r="C32" i="3"/>
  <c r="D32" i="3"/>
  <c r="E32" i="3"/>
  <c r="F32" i="3"/>
  <c r="I32" i="3"/>
  <c r="J32" i="3"/>
  <c r="A33" i="3"/>
  <c r="C33" i="3"/>
  <c r="D33" i="3"/>
  <c r="E33" i="3"/>
  <c r="F33" i="3"/>
  <c r="I33" i="3"/>
  <c r="J33" i="3"/>
  <c r="A34" i="3"/>
  <c r="C34" i="3"/>
  <c r="D34" i="3"/>
  <c r="E34" i="3"/>
  <c r="F34" i="3"/>
  <c r="I34" i="3"/>
  <c r="J34" i="3"/>
  <c r="A35" i="3"/>
  <c r="C35" i="3"/>
  <c r="D35" i="3"/>
  <c r="E35" i="3"/>
  <c r="F35" i="3"/>
  <c r="I35" i="3"/>
  <c r="J35" i="3"/>
  <c r="A36" i="3"/>
  <c r="C36" i="3"/>
  <c r="D36" i="3"/>
  <c r="E36" i="3"/>
  <c r="F36" i="3"/>
  <c r="I36" i="3"/>
  <c r="J36" i="3"/>
  <c r="A37" i="3"/>
  <c r="C37" i="3"/>
  <c r="D37" i="3"/>
  <c r="E37" i="3"/>
  <c r="F37" i="3"/>
  <c r="I37" i="3"/>
  <c r="J37" i="3"/>
  <c r="A38" i="3"/>
  <c r="C38" i="3"/>
  <c r="D38" i="3"/>
  <c r="E38" i="3"/>
  <c r="F38" i="3"/>
  <c r="I38" i="3"/>
  <c r="J38" i="3"/>
  <c r="A39" i="3"/>
  <c r="C39" i="3"/>
  <c r="D39" i="3"/>
  <c r="E39" i="3"/>
  <c r="F39" i="3"/>
  <c r="I39" i="3"/>
  <c r="J39" i="3"/>
  <c r="A40" i="3"/>
  <c r="C40" i="3"/>
  <c r="D40" i="3"/>
  <c r="E40" i="3"/>
  <c r="F40" i="3"/>
  <c r="I40" i="3"/>
  <c r="J40" i="3"/>
  <c r="A41" i="3"/>
  <c r="C41" i="3"/>
  <c r="D41" i="3"/>
  <c r="E41" i="3"/>
  <c r="F41" i="3"/>
  <c r="I41" i="3"/>
  <c r="J41" i="3"/>
  <c r="A42" i="3"/>
  <c r="C42" i="3"/>
  <c r="D42" i="3"/>
  <c r="E42" i="3"/>
  <c r="F42" i="3"/>
  <c r="I42" i="3"/>
  <c r="J42" i="3"/>
  <c r="A43" i="3"/>
  <c r="C43" i="3"/>
  <c r="D43" i="3"/>
  <c r="E43" i="3"/>
  <c r="F43" i="3"/>
  <c r="I43" i="3"/>
  <c r="J43" i="3"/>
  <c r="A44" i="3"/>
  <c r="C44" i="3"/>
  <c r="D44" i="3"/>
  <c r="E44" i="3"/>
  <c r="F44" i="3"/>
  <c r="I44" i="3"/>
  <c r="J44" i="3"/>
  <c r="A45" i="3"/>
  <c r="C45" i="3"/>
  <c r="D45" i="3"/>
  <c r="E45" i="3"/>
  <c r="F45" i="3"/>
  <c r="I45" i="3"/>
  <c r="J45" i="3"/>
  <c r="A46" i="3"/>
  <c r="C46" i="3"/>
  <c r="D46" i="3"/>
  <c r="E46" i="3"/>
  <c r="F46" i="3"/>
  <c r="I46" i="3"/>
  <c r="J46" i="3"/>
  <c r="A47" i="3"/>
  <c r="C47" i="3"/>
  <c r="D47" i="3"/>
  <c r="E47" i="3"/>
  <c r="F47" i="3"/>
  <c r="I47" i="3"/>
  <c r="J47" i="3"/>
  <c r="A48" i="3"/>
  <c r="C48" i="3"/>
  <c r="D48" i="3"/>
  <c r="E48" i="3"/>
  <c r="F48" i="3"/>
  <c r="I48" i="3"/>
  <c r="J48" i="3"/>
  <c r="A49" i="3"/>
  <c r="C49" i="3"/>
  <c r="D49" i="3"/>
  <c r="E49" i="3"/>
  <c r="F49" i="3"/>
  <c r="I49" i="3"/>
  <c r="J49" i="3"/>
  <c r="A50" i="3"/>
  <c r="C50" i="3"/>
  <c r="D50" i="3"/>
  <c r="E50" i="3"/>
  <c r="F50" i="3"/>
  <c r="I50" i="3"/>
  <c r="J50" i="3"/>
  <c r="A51" i="3"/>
  <c r="C51" i="3"/>
  <c r="D51" i="3"/>
  <c r="E51" i="3"/>
  <c r="F51" i="3"/>
  <c r="I51" i="3"/>
  <c r="J51" i="3"/>
  <c r="A52" i="3"/>
  <c r="C52" i="3"/>
  <c r="D52" i="3"/>
  <c r="E52" i="3"/>
  <c r="F52" i="3"/>
  <c r="I52" i="3"/>
  <c r="J52" i="3"/>
  <c r="A53" i="3"/>
  <c r="C53" i="3"/>
  <c r="D53" i="3"/>
  <c r="E53" i="3"/>
  <c r="F53" i="3"/>
  <c r="I53" i="3"/>
  <c r="J53" i="3"/>
  <c r="A54" i="3"/>
  <c r="C54" i="3"/>
  <c r="D54" i="3"/>
  <c r="E54" i="3"/>
  <c r="F54" i="3"/>
  <c r="I54" i="3"/>
  <c r="J54" i="3"/>
  <c r="A55" i="3"/>
  <c r="C55" i="3"/>
  <c r="D55" i="3"/>
  <c r="E55" i="3"/>
  <c r="F55" i="3"/>
  <c r="I55" i="3"/>
  <c r="J55" i="3"/>
  <c r="A56" i="3"/>
  <c r="C56" i="3"/>
  <c r="D56" i="3"/>
  <c r="E56" i="3"/>
  <c r="F56" i="3"/>
  <c r="I56" i="3"/>
  <c r="J56" i="3"/>
  <c r="A57" i="3"/>
  <c r="C57" i="3"/>
  <c r="D57" i="3"/>
  <c r="E57" i="3"/>
  <c r="F57" i="3"/>
  <c r="I57" i="3"/>
  <c r="J57" i="3"/>
  <c r="A58" i="3"/>
  <c r="C58" i="3"/>
  <c r="D58" i="3"/>
  <c r="E58" i="3"/>
  <c r="F58" i="3"/>
  <c r="I58" i="3"/>
  <c r="J58" i="3"/>
  <c r="A59" i="3"/>
  <c r="C59" i="3"/>
  <c r="D59" i="3"/>
  <c r="E59" i="3"/>
  <c r="F59" i="3"/>
  <c r="I59" i="3"/>
  <c r="J59" i="3"/>
  <c r="A60" i="3"/>
  <c r="C60" i="3"/>
  <c r="D60" i="3"/>
  <c r="E60" i="3"/>
  <c r="F60" i="3"/>
  <c r="I60" i="3"/>
  <c r="J60" i="3"/>
  <c r="A61" i="3"/>
  <c r="C61" i="3"/>
  <c r="D61" i="3"/>
  <c r="E61" i="3"/>
  <c r="F61" i="3"/>
  <c r="I61" i="3"/>
  <c r="J61" i="3"/>
  <c r="A62" i="3"/>
  <c r="C62" i="3"/>
  <c r="D62" i="3"/>
  <c r="E62" i="3"/>
  <c r="F62" i="3"/>
  <c r="I62" i="3"/>
  <c r="J62" i="3"/>
  <c r="A63" i="3"/>
  <c r="C63" i="3"/>
  <c r="D63" i="3"/>
  <c r="E63" i="3"/>
  <c r="F63" i="3"/>
  <c r="I63" i="3"/>
  <c r="J63" i="3"/>
  <c r="A64" i="3"/>
  <c r="C64" i="3"/>
  <c r="D64" i="3"/>
  <c r="E64" i="3"/>
  <c r="F64" i="3"/>
  <c r="I64" i="3"/>
  <c r="J64" i="3"/>
  <c r="A65" i="3"/>
  <c r="C65" i="3"/>
  <c r="D65" i="3"/>
  <c r="E65" i="3"/>
  <c r="F65" i="3"/>
  <c r="I65" i="3"/>
  <c r="J65" i="3"/>
  <c r="A66" i="3"/>
  <c r="C66" i="3"/>
  <c r="D66" i="3"/>
  <c r="E66" i="3"/>
  <c r="F66" i="3"/>
  <c r="I66" i="3"/>
  <c r="J66" i="3"/>
  <c r="A67" i="3"/>
  <c r="C67" i="3"/>
  <c r="D67" i="3"/>
  <c r="E67" i="3"/>
  <c r="F67" i="3"/>
  <c r="I67" i="3"/>
  <c r="J67" i="3"/>
  <c r="A68" i="3"/>
  <c r="C68" i="3"/>
  <c r="D68" i="3"/>
  <c r="E68" i="3"/>
  <c r="F68" i="3"/>
  <c r="I68" i="3"/>
  <c r="J68" i="3"/>
  <c r="A69" i="3"/>
  <c r="C69" i="3"/>
  <c r="D69" i="3"/>
  <c r="E69" i="3"/>
  <c r="F69" i="3"/>
  <c r="I69" i="3"/>
  <c r="J69" i="3"/>
  <c r="A70" i="3"/>
  <c r="C70" i="3"/>
  <c r="D70" i="3"/>
  <c r="E70" i="3"/>
  <c r="F70" i="3"/>
  <c r="I70" i="3"/>
  <c r="J70" i="3"/>
  <c r="A71" i="3"/>
  <c r="C71" i="3"/>
  <c r="D71" i="3"/>
  <c r="E71" i="3"/>
  <c r="F71" i="3"/>
  <c r="I71" i="3"/>
  <c r="J71" i="3"/>
  <c r="A72" i="3"/>
  <c r="C72" i="3"/>
  <c r="D72" i="3"/>
  <c r="E72" i="3"/>
  <c r="F72" i="3"/>
  <c r="I72" i="3"/>
  <c r="J72" i="3"/>
  <c r="A73" i="3"/>
  <c r="C73" i="3"/>
  <c r="D73" i="3"/>
  <c r="E73" i="3"/>
  <c r="F73" i="3"/>
  <c r="I73" i="3"/>
  <c r="J73" i="3"/>
  <c r="A74" i="3"/>
  <c r="C74" i="3"/>
  <c r="D74" i="3"/>
  <c r="E74" i="3"/>
  <c r="F74" i="3"/>
  <c r="I74" i="3"/>
  <c r="J74" i="3"/>
  <c r="A75" i="3"/>
  <c r="C75" i="3"/>
  <c r="D75" i="3"/>
  <c r="E75" i="3"/>
  <c r="F75" i="3"/>
  <c r="I75" i="3"/>
  <c r="J75" i="3"/>
  <c r="A76" i="3"/>
  <c r="C76" i="3"/>
  <c r="D76" i="3"/>
  <c r="E76" i="3"/>
  <c r="F76" i="3"/>
  <c r="I76" i="3"/>
  <c r="J76" i="3"/>
  <c r="A77" i="3"/>
  <c r="C77" i="3"/>
  <c r="D77" i="3"/>
  <c r="E77" i="3"/>
  <c r="F77" i="3"/>
  <c r="I77" i="3"/>
  <c r="J77" i="3"/>
  <c r="A78" i="3"/>
  <c r="C78" i="3"/>
  <c r="D78" i="3"/>
  <c r="E78" i="3"/>
  <c r="F78" i="3"/>
  <c r="I78" i="3"/>
  <c r="J78" i="3"/>
  <c r="A79" i="3"/>
  <c r="C79" i="3"/>
  <c r="D79" i="3"/>
  <c r="E79" i="3"/>
  <c r="F79" i="3"/>
  <c r="I79" i="3"/>
  <c r="J79" i="3"/>
  <c r="A80" i="3"/>
  <c r="C80" i="3"/>
  <c r="D80" i="3"/>
  <c r="E80" i="3"/>
  <c r="F80" i="3"/>
  <c r="I80" i="3"/>
  <c r="J80" i="3"/>
  <c r="A81" i="3"/>
  <c r="C81" i="3"/>
  <c r="D81" i="3"/>
  <c r="E81" i="3"/>
  <c r="F81" i="3"/>
  <c r="I81" i="3"/>
  <c r="J81" i="3"/>
  <c r="A82" i="3"/>
  <c r="C82" i="3"/>
  <c r="D82" i="3"/>
  <c r="E82" i="3"/>
  <c r="F82" i="3"/>
  <c r="I82" i="3"/>
  <c r="J82" i="3"/>
  <c r="A83" i="3"/>
  <c r="C83" i="3"/>
  <c r="D83" i="3"/>
  <c r="E83" i="3"/>
  <c r="F83" i="3"/>
  <c r="I83" i="3"/>
  <c r="J83" i="3"/>
  <c r="A84" i="3"/>
  <c r="C84" i="3"/>
  <c r="D84" i="3"/>
  <c r="E84" i="3"/>
  <c r="F84" i="3"/>
  <c r="I84" i="3"/>
  <c r="J84" i="3"/>
  <c r="A85" i="3"/>
  <c r="C85" i="3"/>
  <c r="D85" i="3"/>
  <c r="E85" i="3"/>
  <c r="F85" i="3"/>
  <c r="I85" i="3"/>
  <c r="J85" i="3"/>
  <c r="A86" i="3"/>
  <c r="C86" i="3"/>
  <c r="D86" i="3"/>
  <c r="E86" i="3"/>
  <c r="F86" i="3"/>
  <c r="I86" i="3"/>
  <c r="J86" i="3"/>
  <c r="A87" i="3"/>
  <c r="C87" i="3"/>
  <c r="D87" i="3"/>
  <c r="E87" i="3"/>
  <c r="F87" i="3"/>
  <c r="I87" i="3"/>
  <c r="J87" i="3"/>
  <c r="A88" i="3"/>
  <c r="C88" i="3"/>
  <c r="D88" i="3"/>
  <c r="E88" i="3"/>
  <c r="F88" i="3"/>
  <c r="I88" i="3"/>
  <c r="J88" i="3"/>
  <c r="A89" i="3"/>
  <c r="C89" i="3"/>
  <c r="D89" i="3"/>
  <c r="E89" i="3"/>
  <c r="F89" i="3"/>
  <c r="I89" i="3"/>
  <c r="J89" i="3"/>
  <c r="A90" i="3"/>
  <c r="C90" i="3"/>
  <c r="D90" i="3"/>
  <c r="E90" i="3"/>
  <c r="F90" i="3"/>
  <c r="I90" i="3"/>
  <c r="J90" i="3"/>
  <c r="A91" i="3"/>
  <c r="C91" i="3"/>
  <c r="D91" i="3"/>
  <c r="E91" i="3"/>
  <c r="F91" i="3"/>
  <c r="I91" i="3"/>
  <c r="J91" i="3"/>
  <c r="A92" i="3"/>
  <c r="C92" i="3"/>
  <c r="D92" i="3"/>
  <c r="E92" i="3"/>
  <c r="F92" i="3"/>
  <c r="I92" i="3"/>
  <c r="J92" i="3"/>
  <c r="A93" i="3"/>
  <c r="C93" i="3"/>
  <c r="D93" i="3"/>
  <c r="E93" i="3"/>
  <c r="F93" i="3"/>
  <c r="I93" i="3"/>
  <c r="J93" i="3"/>
  <c r="A94" i="3"/>
  <c r="C94" i="3"/>
  <c r="D94" i="3"/>
  <c r="E94" i="3"/>
  <c r="F94" i="3"/>
  <c r="I94" i="3"/>
  <c r="J94" i="3"/>
  <c r="A95" i="3"/>
  <c r="C95" i="3"/>
  <c r="D95" i="3"/>
  <c r="E95" i="3"/>
  <c r="F95" i="3"/>
  <c r="I95" i="3"/>
  <c r="J95" i="3"/>
  <c r="A96" i="3"/>
  <c r="C96" i="3"/>
  <c r="D96" i="3"/>
  <c r="E96" i="3"/>
  <c r="F96" i="3"/>
  <c r="I96" i="3"/>
  <c r="J96" i="3"/>
  <c r="A97" i="3"/>
  <c r="C97" i="3"/>
  <c r="D97" i="3"/>
  <c r="E97" i="3"/>
  <c r="F97" i="3"/>
  <c r="I97" i="3"/>
  <c r="J97" i="3"/>
  <c r="A98" i="3"/>
  <c r="C98" i="3"/>
  <c r="D98" i="3"/>
  <c r="E98" i="3"/>
  <c r="F98" i="3"/>
  <c r="I98" i="3"/>
  <c r="J98" i="3"/>
  <c r="A99" i="3"/>
  <c r="C99" i="3"/>
  <c r="D99" i="3"/>
  <c r="E99" i="3"/>
  <c r="F99" i="3"/>
  <c r="I99" i="3"/>
  <c r="J99" i="3"/>
  <c r="A100" i="3"/>
  <c r="C100" i="3"/>
  <c r="D100" i="3"/>
  <c r="E100" i="3"/>
  <c r="F100" i="3"/>
  <c r="I100" i="3"/>
  <c r="J100" i="3"/>
  <c r="A101" i="3"/>
  <c r="C101" i="3"/>
  <c r="D101" i="3"/>
  <c r="E101" i="3"/>
  <c r="F101" i="3"/>
  <c r="I101" i="3"/>
  <c r="J101" i="3"/>
  <c r="A102" i="3"/>
  <c r="C102" i="3"/>
  <c r="D102" i="3"/>
  <c r="E102" i="3"/>
  <c r="F102" i="3"/>
  <c r="I102" i="3"/>
  <c r="J102" i="3"/>
  <c r="A103" i="3"/>
  <c r="C103" i="3"/>
  <c r="D103" i="3"/>
  <c r="E103" i="3"/>
  <c r="F103" i="3"/>
  <c r="I103" i="3"/>
  <c r="J103" i="3"/>
  <c r="A104" i="3"/>
  <c r="C104" i="3"/>
  <c r="D104" i="3"/>
  <c r="E104" i="3"/>
  <c r="F104" i="3"/>
  <c r="I104" i="3"/>
  <c r="J104" i="3"/>
  <c r="A105" i="3"/>
  <c r="C105" i="3"/>
  <c r="D105" i="3"/>
  <c r="E105" i="3"/>
  <c r="F105" i="3"/>
  <c r="I105" i="3"/>
  <c r="J105" i="3"/>
  <c r="A106" i="3"/>
  <c r="C106" i="3"/>
  <c r="D106" i="3"/>
  <c r="E106" i="3"/>
  <c r="F106" i="3"/>
  <c r="I106" i="3"/>
  <c r="J106" i="3"/>
  <c r="A107" i="3"/>
  <c r="C107" i="3"/>
  <c r="D107" i="3"/>
  <c r="E107" i="3"/>
  <c r="F107" i="3"/>
  <c r="I107" i="3"/>
  <c r="J107" i="3"/>
  <c r="A108" i="3"/>
  <c r="C108" i="3"/>
  <c r="D108" i="3"/>
  <c r="E108" i="3"/>
  <c r="F108" i="3"/>
  <c r="I108" i="3"/>
  <c r="J108" i="3"/>
  <c r="A109" i="3"/>
  <c r="C109" i="3"/>
  <c r="D109" i="3"/>
  <c r="E109" i="3"/>
  <c r="F109" i="3"/>
  <c r="I109" i="3"/>
  <c r="J109" i="3"/>
  <c r="A110" i="3"/>
  <c r="C110" i="3"/>
  <c r="D110" i="3"/>
  <c r="E110" i="3"/>
  <c r="F110" i="3"/>
  <c r="I110" i="3"/>
  <c r="J110" i="3"/>
  <c r="A111" i="3"/>
  <c r="C111" i="3"/>
  <c r="D111" i="3"/>
  <c r="E111" i="3"/>
  <c r="F111" i="3"/>
  <c r="I111" i="3"/>
  <c r="J111" i="3"/>
  <c r="A112" i="3"/>
  <c r="C112" i="3"/>
  <c r="D112" i="3"/>
  <c r="E112" i="3"/>
  <c r="F112" i="3"/>
  <c r="I112" i="3"/>
  <c r="J112" i="3"/>
  <c r="A113" i="3"/>
  <c r="C113" i="3"/>
  <c r="D113" i="3"/>
  <c r="E113" i="3"/>
  <c r="F113" i="3"/>
  <c r="I113" i="3"/>
  <c r="J113" i="3"/>
  <c r="A114" i="3"/>
  <c r="C114" i="3"/>
  <c r="D114" i="3"/>
  <c r="E114" i="3"/>
  <c r="F114" i="3"/>
  <c r="I114" i="3"/>
  <c r="J114" i="3"/>
  <c r="A115" i="3"/>
  <c r="C115" i="3"/>
  <c r="D115" i="3"/>
  <c r="E115" i="3"/>
  <c r="F115" i="3"/>
  <c r="I115" i="3"/>
  <c r="J115" i="3"/>
  <c r="A116" i="3"/>
  <c r="C116" i="3"/>
  <c r="D116" i="3"/>
  <c r="E116" i="3"/>
  <c r="F116" i="3"/>
  <c r="I116" i="3"/>
  <c r="J116" i="3"/>
  <c r="A117" i="3"/>
  <c r="C117" i="3"/>
  <c r="D117" i="3"/>
  <c r="E117" i="3"/>
  <c r="F117" i="3"/>
  <c r="I117" i="3"/>
  <c r="J117" i="3"/>
  <c r="A118" i="3"/>
  <c r="C118" i="3"/>
  <c r="D118" i="3"/>
  <c r="E118" i="3"/>
  <c r="F118" i="3"/>
  <c r="I118" i="3"/>
  <c r="J118" i="3"/>
  <c r="A119" i="3"/>
  <c r="C119" i="3"/>
  <c r="D119" i="3"/>
  <c r="E119" i="3"/>
  <c r="F119" i="3"/>
  <c r="I119" i="3"/>
  <c r="J119" i="3"/>
  <c r="A120" i="3"/>
  <c r="C120" i="3"/>
  <c r="D120" i="3"/>
  <c r="E120" i="3"/>
  <c r="F120" i="3"/>
  <c r="I120" i="3"/>
  <c r="J120" i="3"/>
  <c r="A121" i="3"/>
  <c r="C121" i="3"/>
  <c r="D121" i="3"/>
  <c r="E121" i="3"/>
  <c r="F121" i="3"/>
  <c r="I121" i="3"/>
  <c r="J121" i="3"/>
  <c r="A122" i="3"/>
  <c r="C122" i="3"/>
  <c r="D122" i="3"/>
  <c r="E122" i="3"/>
  <c r="F122" i="3"/>
  <c r="I122" i="3"/>
  <c r="J122" i="3"/>
  <c r="A123" i="3"/>
  <c r="C123" i="3"/>
  <c r="D123" i="3"/>
  <c r="E123" i="3"/>
  <c r="F123" i="3"/>
  <c r="I123" i="3"/>
  <c r="J123" i="3"/>
  <c r="A124" i="3"/>
  <c r="C124" i="3"/>
  <c r="D124" i="3"/>
  <c r="E124" i="3"/>
  <c r="F124" i="3"/>
  <c r="I124" i="3"/>
  <c r="J124" i="3"/>
  <c r="A125" i="3"/>
  <c r="C125" i="3"/>
  <c r="D125" i="3"/>
  <c r="E125" i="3"/>
  <c r="F125" i="3"/>
  <c r="I125" i="3"/>
  <c r="J125" i="3"/>
  <c r="A126" i="3"/>
  <c r="C126" i="3"/>
  <c r="D126" i="3"/>
  <c r="E126" i="3"/>
  <c r="F126" i="3"/>
  <c r="I126" i="3"/>
  <c r="J126" i="3"/>
  <c r="A127" i="3"/>
  <c r="C127" i="3"/>
  <c r="D127" i="3"/>
  <c r="E127" i="3"/>
  <c r="F127" i="3"/>
  <c r="I127" i="3"/>
  <c r="J127" i="3"/>
  <c r="A128" i="3"/>
  <c r="C128" i="3"/>
  <c r="D128" i="3"/>
  <c r="E128" i="3"/>
  <c r="F128" i="3"/>
  <c r="I128" i="3"/>
  <c r="J128" i="3"/>
  <c r="A129" i="3"/>
  <c r="C129" i="3"/>
  <c r="D129" i="3"/>
  <c r="E129" i="3"/>
  <c r="F129" i="3"/>
  <c r="I129" i="3"/>
  <c r="J129" i="3"/>
  <c r="A130" i="3"/>
  <c r="C130" i="3"/>
  <c r="D130" i="3"/>
  <c r="E130" i="3"/>
  <c r="F130" i="3"/>
  <c r="I130" i="3"/>
  <c r="J130" i="3"/>
  <c r="A131" i="3"/>
  <c r="C131" i="3"/>
  <c r="D131" i="3"/>
  <c r="E131" i="3"/>
  <c r="F131" i="3"/>
  <c r="I131" i="3"/>
  <c r="J131" i="3"/>
  <c r="A132" i="3"/>
  <c r="C132" i="3"/>
  <c r="D132" i="3"/>
  <c r="E132" i="3"/>
  <c r="F132" i="3"/>
  <c r="I132" i="3"/>
  <c r="J132" i="3"/>
  <c r="A133" i="3"/>
  <c r="C133" i="3"/>
  <c r="D133" i="3"/>
  <c r="E133" i="3"/>
  <c r="F133" i="3"/>
  <c r="I133" i="3"/>
  <c r="J133" i="3"/>
  <c r="A134" i="3"/>
  <c r="C134" i="3"/>
  <c r="D134" i="3"/>
  <c r="E134" i="3"/>
  <c r="F134" i="3"/>
  <c r="I134" i="3"/>
  <c r="J134" i="3"/>
  <c r="A135" i="3"/>
  <c r="C135" i="3"/>
  <c r="D135" i="3"/>
  <c r="E135" i="3"/>
  <c r="F135" i="3"/>
  <c r="I135" i="3"/>
  <c r="J135" i="3"/>
  <c r="A136" i="3"/>
  <c r="C136" i="3"/>
  <c r="D136" i="3"/>
  <c r="E136" i="3"/>
  <c r="F136" i="3"/>
  <c r="I136" i="3"/>
  <c r="J136" i="3"/>
  <c r="A137" i="3"/>
  <c r="C137" i="3"/>
  <c r="D137" i="3"/>
  <c r="E137" i="3"/>
  <c r="F137" i="3"/>
  <c r="I137" i="3"/>
  <c r="J137" i="3"/>
  <c r="A138" i="3"/>
  <c r="C138" i="3"/>
  <c r="D138" i="3"/>
  <c r="E138" i="3"/>
  <c r="F138" i="3"/>
  <c r="I138" i="3"/>
  <c r="J138" i="3"/>
  <c r="A139" i="3"/>
  <c r="C139" i="3"/>
  <c r="D139" i="3"/>
  <c r="E139" i="3"/>
  <c r="F139" i="3"/>
  <c r="I139" i="3"/>
  <c r="J139" i="3"/>
  <c r="A140" i="3"/>
  <c r="C140" i="3"/>
  <c r="D140" i="3"/>
  <c r="E140" i="3"/>
  <c r="F140" i="3"/>
  <c r="I140" i="3"/>
  <c r="J140" i="3"/>
  <c r="A141" i="3"/>
  <c r="C141" i="3"/>
  <c r="D141" i="3"/>
  <c r="E141" i="3"/>
  <c r="F141" i="3"/>
  <c r="I141" i="3"/>
  <c r="J141" i="3"/>
  <c r="A142" i="3"/>
  <c r="C142" i="3"/>
  <c r="D142" i="3"/>
  <c r="E142" i="3"/>
  <c r="F142" i="3"/>
  <c r="I142" i="3"/>
  <c r="J142" i="3"/>
  <c r="A143" i="3"/>
  <c r="C143" i="3"/>
  <c r="D143" i="3"/>
  <c r="E143" i="3"/>
  <c r="F143" i="3"/>
  <c r="I143" i="3"/>
  <c r="J143" i="3"/>
  <c r="A144" i="3"/>
  <c r="C144" i="3"/>
  <c r="D144" i="3"/>
  <c r="E144" i="3"/>
  <c r="F144" i="3"/>
  <c r="I144" i="3"/>
  <c r="J144" i="3"/>
  <c r="A145" i="3"/>
  <c r="C145" i="3"/>
  <c r="D145" i="3"/>
  <c r="E145" i="3"/>
  <c r="F145" i="3"/>
  <c r="I145" i="3"/>
  <c r="J145" i="3"/>
  <c r="A146" i="3"/>
  <c r="C146" i="3"/>
  <c r="D146" i="3"/>
  <c r="E146" i="3"/>
  <c r="F146" i="3"/>
  <c r="I146" i="3"/>
  <c r="J146" i="3"/>
  <c r="A147" i="3"/>
  <c r="C147" i="3"/>
  <c r="D147" i="3"/>
  <c r="E147" i="3"/>
  <c r="F147" i="3"/>
  <c r="I147" i="3"/>
  <c r="J147" i="3"/>
  <c r="A148" i="3"/>
  <c r="C148" i="3"/>
  <c r="D148" i="3"/>
  <c r="E148" i="3"/>
  <c r="F148" i="3"/>
  <c r="I148" i="3"/>
  <c r="J148" i="3"/>
  <c r="A149" i="3"/>
  <c r="C149" i="3"/>
  <c r="D149" i="3"/>
  <c r="E149" i="3"/>
  <c r="F149" i="3"/>
  <c r="I149" i="3"/>
  <c r="J149" i="3"/>
  <c r="A150" i="3"/>
  <c r="C150" i="3"/>
  <c r="D150" i="3"/>
  <c r="E150" i="3"/>
  <c r="F150" i="3"/>
  <c r="I150" i="3"/>
  <c r="J150" i="3"/>
  <c r="A151" i="3"/>
  <c r="C151" i="3"/>
  <c r="D151" i="3"/>
  <c r="E151" i="3"/>
  <c r="F151" i="3"/>
  <c r="I151" i="3"/>
  <c r="J151" i="3"/>
  <c r="A152" i="3"/>
  <c r="C152" i="3"/>
  <c r="D152" i="3"/>
  <c r="E152" i="3"/>
  <c r="F152" i="3"/>
  <c r="I152" i="3"/>
  <c r="J152" i="3"/>
  <c r="A153" i="3"/>
  <c r="C153" i="3"/>
  <c r="D153" i="3"/>
  <c r="E153" i="3"/>
  <c r="F153" i="3"/>
  <c r="I153" i="3"/>
  <c r="J153" i="3"/>
  <c r="A154" i="3"/>
  <c r="C154" i="3"/>
  <c r="D154" i="3"/>
  <c r="E154" i="3"/>
  <c r="F154" i="3"/>
  <c r="I154" i="3"/>
  <c r="J154" i="3"/>
  <c r="A155" i="3"/>
  <c r="C155" i="3"/>
  <c r="D155" i="3"/>
  <c r="E155" i="3"/>
  <c r="F155" i="3"/>
  <c r="I155" i="3"/>
  <c r="J155" i="3"/>
  <c r="A156" i="3"/>
  <c r="C156" i="3"/>
  <c r="D156" i="3"/>
  <c r="E156" i="3"/>
  <c r="F156" i="3"/>
  <c r="I156" i="3"/>
  <c r="J156" i="3"/>
  <c r="A157" i="3"/>
  <c r="C157" i="3"/>
  <c r="D157" i="3"/>
  <c r="E157" i="3"/>
  <c r="F157" i="3"/>
  <c r="I157" i="3"/>
  <c r="J157" i="3"/>
  <c r="A158" i="3"/>
  <c r="C158" i="3"/>
  <c r="D158" i="3"/>
  <c r="E158" i="3"/>
  <c r="F158" i="3"/>
  <c r="I158" i="3"/>
  <c r="J158" i="3"/>
  <c r="A159" i="3"/>
  <c r="C159" i="3"/>
  <c r="D159" i="3"/>
  <c r="E159" i="3"/>
  <c r="F159" i="3"/>
  <c r="I159" i="3"/>
  <c r="J159" i="3"/>
  <c r="A160" i="3"/>
  <c r="C160" i="3"/>
  <c r="D160" i="3"/>
  <c r="E160" i="3"/>
  <c r="F160" i="3"/>
  <c r="I160" i="3"/>
  <c r="J160" i="3"/>
  <c r="A161" i="3"/>
  <c r="C161" i="3"/>
  <c r="D161" i="3"/>
  <c r="E161" i="3"/>
  <c r="F161" i="3"/>
  <c r="I161" i="3"/>
  <c r="J161" i="3"/>
  <c r="A162" i="3"/>
  <c r="C162" i="3"/>
  <c r="D162" i="3"/>
  <c r="E162" i="3"/>
  <c r="F162" i="3"/>
  <c r="I162" i="3"/>
  <c r="J162" i="3"/>
  <c r="A163" i="3"/>
  <c r="C163" i="3"/>
  <c r="D163" i="3"/>
  <c r="E163" i="3"/>
  <c r="F163" i="3"/>
  <c r="I163" i="3"/>
  <c r="J163" i="3"/>
  <c r="A164" i="3"/>
  <c r="C164" i="3"/>
  <c r="D164" i="3"/>
  <c r="E164" i="3"/>
  <c r="F164" i="3"/>
  <c r="I164" i="3"/>
  <c r="J164" i="3"/>
  <c r="A165" i="3"/>
  <c r="C165" i="3"/>
  <c r="D165" i="3"/>
  <c r="E165" i="3"/>
  <c r="F165" i="3"/>
  <c r="I165" i="3"/>
  <c r="J165" i="3"/>
  <c r="A166" i="3"/>
  <c r="C166" i="3"/>
  <c r="D166" i="3"/>
  <c r="E166" i="3"/>
  <c r="F166" i="3"/>
  <c r="I166" i="3"/>
  <c r="J166" i="3"/>
  <c r="A167" i="3"/>
  <c r="C167" i="3"/>
  <c r="D167" i="3"/>
  <c r="E167" i="3"/>
  <c r="F167" i="3"/>
  <c r="I167" i="3"/>
  <c r="J167" i="3"/>
  <c r="A168" i="3"/>
  <c r="C168" i="3"/>
  <c r="D168" i="3"/>
  <c r="E168" i="3"/>
  <c r="F168" i="3"/>
  <c r="I168" i="3"/>
  <c r="J168" i="3"/>
  <c r="A169" i="3"/>
  <c r="C169" i="3"/>
  <c r="D169" i="3"/>
  <c r="E169" i="3"/>
  <c r="F169" i="3"/>
  <c r="I169" i="3"/>
  <c r="J169" i="3"/>
  <c r="A170" i="3"/>
  <c r="C170" i="3"/>
  <c r="D170" i="3"/>
  <c r="E170" i="3"/>
  <c r="F170" i="3"/>
  <c r="I170" i="3"/>
  <c r="J170" i="3"/>
  <c r="A171" i="3"/>
  <c r="C171" i="3"/>
  <c r="D171" i="3"/>
  <c r="E171" i="3"/>
  <c r="F171" i="3"/>
  <c r="I171" i="3"/>
  <c r="J171" i="3"/>
  <c r="A172" i="3"/>
  <c r="C172" i="3"/>
  <c r="D172" i="3"/>
  <c r="E172" i="3"/>
  <c r="F172" i="3"/>
  <c r="I172" i="3"/>
  <c r="J172" i="3"/>
  <c r="A173" i="3"/>
  <c r="C173" i="3"/>
  <c r="D173" i="3"/>
  <c r="E173" i="3"/>
  <c r="F173" i="3"/>
  <c r="I173" i="3"/>
  <c r="J173" i="3"/>
  <c r="A174" i="3"/>
  <c r="C174" i="3"/>
  <c r="D174" i="3"/>
  <c r="E174" i="3"/>
  <c r="F174" i="3"/>
  <c r="I174" i="3"/>
  <c r="J174" i="3"/>
  <c r="A175" i="3"/>
  <c r="C175" i="3"/>
  <c r="D175" i="3"/>
  <c r="E175" i="3"/>
  <c r="F175" i="3"/>
  <c r="I175" i="3"/>
  <c r="J175" i="3"/>
  <c r="A176" i="3"/>
  <c r="C176" i="3"/>
  <c r="D176" i="3"/>
  <c r="E176" i="3"/>
  <c r="F176" i="3"/>
  <c r="I176" i="3"/>
  <c r="J176" i="3"/>
  <c r="A177" i="3"/>
  <c r="C177" i="3"/>
  <c r="D177" i="3"/>
  <c r="E177" i="3"/>
  <c r="F177" i="3"/>
  <c r="I177" i="3"/>
  <c r="J177" i="3"/>
  <c r="A178" i="3"/>
  <c r="C178" i="3"/>
  <c r="D178" i="3"/>
  <c r="E178" i="3"/>
  <c r="F178" i="3"/>
  <c r="I178" i="3"/>
  <c r="J178" i="3"/>
  <c r="A179" i="3"/>
  <c r="C179" i="3"/>
  <c r="D179" i="3"/>
  <c r="E179" i="3"/>
  <c r="F179" i="3"/>
  <c r="I179" i="3"/>
  <c r="J179" i="3"/>
  <c r="A180" i="3"/>
  <c r="C180" i="3"/>
  <c r="D180" i="3"/>
  <c r="E180" i="3"/>
  <c r="F180" i="3"/>
  <c r="I180" i="3"/>
  <c r="J180" i="3"/>
  <c r="A181" i="3"/>
  <c r="C181" i="3"/>
  <c r="D181" i="3"/>
  <c r="E181" i="3"/>
  <c r="F181" i="3"/>
  <c r="I181" i="3"/>
  <c r="J181" i="3"/>
  <c r="A182" i="3"/>
  <c r="C182" i="3"/>
  <c r="D182" i="3"/>
  <c r="E182" i="3"/>
  <c r="F182" i="3"/>
  <c r="I182" i="3"/>
  <c r="J182" i="3"/>
  <c r="A183" i="3"/>
  <c r="C183" i="3"/>
  <c r="D183" i="3"/>
  <c r="E183" i="3"/>
  <c r="F183" i="3"/>
  <c r="I183" i="3"/>
  <c r="J183" i="3"/>
  <c r="A184" i="3"/>
  <c r="C184" i="3"/>
  <c r="D184" i="3"/>
  <c r="E184" i="3"/>
  <c r="F184" i="3"/>
  <c r="I184" i="3"/>
  <c r="J184" i="3"/>
  <c r="A185" i="3"/>
  <c r="C185" i="3"/>
  <c r="D185" i="3"/>
  <c r="E185" i="3"/>
  <c r="F185" i="3"/>
  <c r="I185" i="3"/>
  <c r="J185" i="3"/>
  <c r="A186" i="3"/>
  <c r="C186" i="3"/>
  <c r="D186" i="3"/>
  <c r="E186" i="3"/>
  <c r="F186" i="3"/>
  <c r="I186" i="3"/>
  <c r="J186" i="3"/>
  <c r="A187" i="3"/>
  <c r="C187" i="3"/>
  <c r="D187" i="3"/>
  <c r="E187" i="3"/>
  <c r="F187" i="3"/>
  <c r="I187" i="3"/>
  <c r="J187" i="3"/>
  <c r="A188" i="3"/>
  <c r="C188" i="3"/>
  <c r="D188" i="3"/>
  <c r="E188" i="3"/>
  <c r="F188" i="3"/>
  <c r="I188" i="3"/>
  <c r="J188" i="3"/>
  <c r="A189" i="3"/>
  <c r="C189" i="3"/>
  <c r="D189" i="3"/>
  <c r="E189" i="3"/>
  <c r="F189" i="3"/>
  <c r="I189" i="3"/>
  <c r="J189" i="3"/>
  <c r="A190" i="3"/>
  <c r="C190" i="3"/>
  <c r="D190" i="3"/>
  <c r="E190" i="3"/>
  <c r="F190" i="3"/>
  <c r="I190" i="3"/>
  <c r="J190" i="3"/>
  <c r="A191" i="3"/>
  <c r="C191" i="3"/>
  <c r="D191" i="3"/>
  <c r="E191" i="3"/>
  <c r="F191" i="3"/>
  <c r="I191" i="3"/>
  <c r="J191" i="3"/>
  <c r="A192" i="3"/>
  <c r="C192" i="3"/>
  <c r="D192" i="3"/>
  <c r="E192" i="3"/>
  <c r="F192" i="3"/>
  <c r="I192" i="3"/>
  <c r="J192" i="3"/>
  <c r="A193" i="3"/>
  <c r="C193" i="3"/>
  <c r="D193" i="3"/>
  <c r="E193" i="3"/>
  <c r="F193" i="3"/>
  <c r="I193" i="3"/>
  <c r="J193" i="3"/>
  <c r="A194" i="3"/>
  <c r="C194" i="3"/>
  <c r="D194" i="3"/>
  <c r="E194" i="3"/>
  <c r="F194" i="3"/>
  <c r="I194" i="3"/>
  <c r="J194" i="3"/>
  <c r="A195" i="3"/>
  <c r="C195" i="3"/>
  <c r="D195" i="3"/>
  <c r="E195" i="3"/>
  <c r="F195" i="3"/>
  <c r="I195" i="3"/>
  <c r="J195" i="3"/>
  <c r="A196" i="3"/>
  <c r="C196" i="3"/>
  <c r="D196" i="3"/>
  <c r="E196" i="3"/>
  <c r="F196" i="3"/>
  <c r="I196" i="3"/>
  <c r="J196" i="3"/>
  <c r="A197" i="3"/>
  <c r="C197" i="3"/>
  <c r="D197" i="3"/>
  <c r="E197" i="3"/>
  <c r="F197" i="3"/>
  <c r="I197" i="3"/>
  <c r="J197" i="3"/>
  <c r="A198" i="3"/>
  <c r="C198" i="3"/>
  <c r="D198" i="3"/>
  <c r="E198" i="3"/>
  <c r="F198" i="3"/>
  <c r="I198" i="3"/>
  <c r="J198" i="3"/>
  <c r="A199" i="3"/>
  <c r="C199" i="3"/>
  <c r="D199" i="3"/>
  <c r="E199" i="3"/>
  <c r="F199" i="3"/>
  <c r="I199" i="3"/>
  <c r="J199" i="3"/>
  <c r="A200" i="3"/>
  <c r="C200" i="3"/>
  <c r="D200" i="3"/>
  <c r="E200" i="3"/>
  <c r="F200" i="3"/>
  <c r="I200" i="3"/>
  <c r="J200" i="3"/>
  <c r="A201" i="3"/>
  <c r="C201" i="3"/>
  <c r="D201" i="3"/>
  <c r="E201" i="3"/>
  <c r="F201" i="3"/>
  <c r="I201" i="3"/>
  <c r="J201" i="3"/>
  <c r="A202" i="3"/>
  <c r="C202" i="3"/>
  <c r="D202" i="3"/>
  <c r="E202" i="3"/>
  <c r="F202" i="3"/>
  <c r="I202" i="3"/>
  <c r="J202" i="3"/>
  <c r="A203" i="3"/>
  <c r="C203" i="3"/>
  <c r="D203" i="3"/>
  <c r="E203" i="3"/>
  <c r="F203" i="3"/>
  <c r="I203" i="3"/>
  <c r="J203" i="3"/>
  <c r="A204" i="3"/>
  <c r="C204" i="3"/>
  <c r="D204" i="3"/>
  <c r="E204" i="3"/>
  <c r="F204" i="3"/>
  <c r="I204" i="3"/>
  <c r="J204" i="3"/>
  <c r="A205" i="3"/>
  <c r="C205" i="3"/>
  <c r="D205" i="3"/>
  <c r="E205" i="3"/>
  <c r="F205" i="3"/>
  <c r="I205" i="3"/>
  <c r="J205" i="3"/>
  <c r="A206" i="3"/>
  <c r="C206" i="3"/>
  <c r="D206" i="3"/>
  <c r="E206" i="3"/>
  <c r="F206" i="3"/>
  <c r="I206" i="3"/>
  <c r="J206" i="3"/>
  <c r="A207" i="3"/>
  <c r="C207" i="3"/>
  <c r="D207" i="3"/>
  <c r="E207" i="3"/>
  <c r="F207" i="3"/>
  <c r="I207" i="3"/>
  <c r="J207" i="3"/>
  <c r="A208" i="3"/>
  <c r="C208" i="3"/>
  <c r="D208" i="3"/>
  <c r="E208" i="3"/>
  <c r="F208" i="3"/>
  <c r="I208" i="3"/>
  <c r="J208" i="3"/>
  <c r="A209" i="3"/>
  <c r="C209" i="3"/>
  <c r="D209" i="3"/>
  <c r="E209" i="3"/>
  <c r="F209" i="3"/>
  <c r="I209" i="3"/>
  <c r="J209" i="3"/>
  <c r="A210" i="3"/>
  <c r="C210" i="3"/>
  <c r="D210" i="3"/>
  <c r="E210" i="3"/>
  <c r="F210" i="3"/>
  <c r="I210" i="3"/>
  <c r="J210" i="3"/>
  <c r="A211" i="3"/>
  <c r="C211" i="3"/>
  <c r="D211" i="3"/>
  <c r="E211" i="3"/>
  <c r="F211" i="3"/>
  <c r="I211" i="3"/>
  <c r="J211" i="3"/>
  <c r="A212" i="3"/>
  <c r="C212" i="3"/>
  <c r="D212" i="3"/>
  <c r="E212" i="3"/>
  <c r="F212" i="3"/>
  <c r="I212" i="3"/>
  <c r="J212" i="3"/>
  <c r="A213" i="3"/>
  <c r="C213" i="3"/>
  <c r="D213" i="3"/>
  <c r="E213" i="3"/>
  <c r="F213" i="3"/>
  <c r="I213" i="3"/>
  <c r="J213" i="3"/>
  <c r="A214" i="3"/>
  <c r="C214" i="3"/>
  <c r="D214" i="3"/>
  <c r="E214" i="3"/>
  <c r="F214" i="3"/>
  <c r="I214" i="3"/>
  <c r="J214" i="3"/>
  <c r="A215" i="3"/>
  <c r="C215" i="3"/>
  <c r="D215" i="3"/>
  <c r="E215" i="3"/>
  <c r="F215" i="3"/>
  <c r="I215" i="3"/>
  <c r="J215" i="3"/>
  <c r="A216" i="3"/>
  <c r="C216" i="3"/>
  <c r="D216" i="3"/>
  <c r="E216" i="3"/>
  <c r="F216" i="3"/>
  <c r="I216" i="3"/>
  <c r="J216" i="3"/>
  <c r="A217" i="3"/>
  <c r="C217" i="3"/>
  <c r="D217" i="3"/>
  <c r="E217" i="3"/>
  <c r="F217" i="3"/>
  <c r="I217" i="3"/>
  <c r="J217" i="3"/>
  <c r="A218" i="3"/>
  <c r="C218" i="3"/>
  <c r="D218" i="3"/>
  <c r="E218" i="3"/>
  <c r="F218" i="3"/>
  <c r="I218" i="3"/>
  <c r="J218" i="3"/>
  <c r="A219" i="3"/>
  <c r="C219" i="3"/>
  <c r="D219" i="3"/>
  <c r="E219" i="3"/>
  <c r="F219" i="3"/>
  <c r="I219" i="3"/>
  <c r="J219" i="3"/>
  <c r="A220" i="3"/>
  <c r="C220" i="3"/>
  <c r="D220" i="3"/>
  <c r="E220" i="3"/>
  <c r="F220" i="3"/>
  <c r="I220" i="3"/>
  <c r="J220" i="3"/>
  <c r="A221" i="3"/>
  <c r="C221" i="3"/>
  <c r="D221" i="3"/>
  <c r="E221" i="3"/>
  <c r="F221" i="3"/>
  <c r="I221" i="3"/>
  <c r="J221" i="3"/>
  <c r="A222" i="3"/>
  <c r="C222" i="3"/>
  <c r="D222" i="3"/>
  <c r="E222" i="3"/>
  <c r="F222" i="3"/>
  <c r="I222" i="3"/>
  <c r="J222" i="3"/>
  <c r="A223" i="3"/>
  <c r="C223" i="3"/>
  <c r="D223" i="3"/>
  <c r="E223" i="3"/>
  <c r="F223" i="3"/>
  <c r="I223" i="3"/>
  <c r="J223" i="3"/>
  <c r="A224" i="3"/>
  <c r="C224" i="3"/>
  <c r="D224" i="3"/>
  <c r="E224" i="3"/>
  <c r="F224" i="3"/>
  <c r="I224" i="3"/>
  <c r="J224" i="3"/>
  <c r="A225" i="3"/>
  <c r="C225" i="3"/>
  <c r="D225" i="3"/>
  <c r="E225" i="3"/>
  <c r="F225" i="3"/>
  <c r="I225" i="3"/>
  <c r="J225" i="3"/>
  <c r="A226" i="3"/>
  <c r="C226" i="3"/>
  <c r="D226" i="3"/>
  <c r="E226" i="3"/>
  <c r="F226" i="3"/>
  <c r="I226" i="3"/>
  <c r="J226" i="3"/>
  <c r="A227" i="3"/>
  <c r="C227" i="3"/>
  <c r="D227" i="3"/>
  <c r="E227" i="3"/>
  <c r="F227" i="3"/>
  <c r="I227" i="3"/>
  <c r="J227" i="3"/>
  <c r="A228" i="3"/>
  <c r="C228" i="3"/>
  <c r="D228" i="3"/>
  <c r="E228" i="3"/>
  <c r="F228" i="3"/>
  <c r="I228" i="3"/>
  <c r="J228" i="3"/>
  <c r="A229" i="3"/>
  <c r="C229" i="3"/>
  <c r="D229" i="3"/>
  <c r="E229" i="3"/>
  <c r="F229" i="3"/>
  <c r="I229" i="3"/>
  <c r="J229" i="3"/>
  <c r="A230" i="3"/>
  <c r="C230" i="3"/>
  <c r="D230" i="3"/>
  <c r="E230" i="3"/>
  <c r="F230" i="3"/>
  <c r="I230" i="3"/>
  <c r="J230" i="3"/>
  <c r="A231" i="3"/>
  <c r="C231" i="3"/>
  <c r="D231" i="3"/>
  <c r="E231" i="3"/>
  <c r="F231" i="3"/>
  <c r="I231" i="3"/>
  <c r="J231" i="3"/>
  <c r="A232" i="3"/>
  <c r="C232" i="3"/>
  <c r="D232" i="3"/>
  <c r="E232" i="3"/>
  <c r="F232" i="3"/>
  <c r="I232" i="3"/>
  <c r="J232" i="3"/>
  <c r="A233" i="3"/>
  <c r="C233" i="3"/>
  <c r="D233" i="3"/>
  <c r="E233" i="3"/>
  <c r="F233" i="3"/>
  <c r="I233" i="3"/>
  <c r="J233" i="3"/>
  <c r="A234" i="3"/>
  <c r="C234" i="3"/>
  <c r="D234" i="3"/>
  <c r="E234" i="3"/>
  <c r="F234" i="3"/>
  <c r="I234" i="3"/>
  <c r="J234" i="3"/>
  <c r="A235" i="3"/>
  <c r="C235" i="3"/>
  <c r="D235" i="3"/>
  <c r="E235" i="3"/>
  <c r="F235" i="3"/>
  <c r="I235" i="3"/>
  <c r="J235" i="3"/>
  <c r="A236" i="3"/>
  <c r="C236" i="3"/>
  <c r="D236" i="3"/>
  <c r="E236" i="3"/>
  <c r="F236" i="3"/>
  <c r="I236" i="3"/>
  <c r="J236" i="3"/>
  <c r="A237" i="3"/>
  <c r="C237" i="3"/>
  <c r="D237" i="3"/>
  <c r="E237" i="3"/>
  <c r="F237" i="3"/>
  <c r="I237" i="3"/>
  <c r="J237" i="3"/>
  <c r="A238" i="3"/>
  <c r="C238" i="3"/>
  <c r="D238" i="3"/>
  <c r="E238" i="3"/>
  <c r="F238" i="3"/>
  <c r="I238" i="3"/>
  <c r="J238" i="3"/>
  <c r="A239" i="3"/>
  <c r="C239" i="3"/>
  <c r="D239" i="3"/>
  <c r="E239" i="3"/>
  <c r="F239" i="3"/>
  <c r="I239" i="3"/>
  <c r="J239" i="3"/>
  <c r="A240" i="3"/>
  <c r="C240" i="3"/>
  <c r="D240" i="3"/>
  <c r="E240" i="3"/>
  <c r="F240" i="3"/>
  <c r="I240" i="3"/>
  <c r="J240" i="3"/>
  <c r="A241" i="3"/>
  <c r="C241" i="3"/>
  <c r="D241" i="3"/>
  <c r="E241" i="3"/>
  <c r="F241" i="3"/>
  <c r="I241" i="3"/>
  <c r="J241" i="3"/>
  <c r="A242" i="3"/>
  <c r="C242" i="3"/>
  <c r="D242" i="3"/>
  <c r="E242" i="3"/>
  <c r="F242" i="3"/>
  <c r="I242" i="3"/>
  <c r="J242" i="3"/>
  <c r="A243" i="3"/>
  <c r="C243" i="3"/>
  <c r="D243" i="3"/>
  <c r="E243" i="3"/>
  <c r="F243" i="3"/>
  <c r="I243" i="3"/>
  <c r="J243" i="3"/>
  <c r="A244" i="3"/>
  <c r="C244" i="3"/>
  <c r="D244" i="3"/>
  <c r="E244" i="3"/>
  <c r="F244" i="3"/>
  <c r="I244" i="3"/>
  <c r="J244" i="3"/>
  <c r="A245" i="3"/>
  <c r="C245" i="3"/>
  <c r="D245" i="3"/>
  <c r="E245" i="3"/>
  <c r="F245" i="3"/>
  <c r="I245" i="3"/>
  <c r="J245" i="3"/>
  <c r="A246" i="3"/>
  <c r="C246" i="3"/>
  <c r="D246" i="3"/>
  <c r="E246" i="3"/>
  <c r="F246" i="3"/>
  <c r="I246" i="3"/>
  <c r="J246" i="3"/>
  <c r="A247" i="3"/>
  <c r="C247" i="3"/>
  <c r="D247" i="3"/>
  <c r="E247" i="3"/>
  <c r="F247" i="3"/>
  <c r="I247" i="3"/>
  <c r="J247" i="3"/>
  <c r="A248" i="3"/>
  <c r="C248" i="3"/>
  <c r="D248" i="3"/>
  <c r="E248" i="3"/>
  <c r="F248" i="3"/>
  <c r="I248" i="3"/>
  <c r="J248" i="3"/>
  <c r="A249" i="3"/>
  <c r="C249" i="3"/>
  <c r="D249" i="3"/>
  <c r="E249" i="3"/>
  <c r="F249" i="3"/>
  <c r="I249" i="3"/>
  <c r="J249" i="3"/>
  <c r="A250" i="3"/>
  <c r="C250" i="3"/>
  <c r="D250" i="3"/>
  <c r="E250" i="3"/>
  <c r="F250" i="3"/>
  <c r="I250" i="3"/>
  <c r="J250" i="3"/>
  <c r="A251" i="3"/>
  <c r="C251" i="3"/>
  <c r="D251" i="3"/>
  <c r="E251" i="3"/>
  <c r="F251" i="3"/>
  <c r="I251" i="3"/>
  <c r="J251" i="3"/>
  <c r="A252" i="3"/>
  <c r="C252" i="3"/>
  <c r="D252" i="3"/>
  <c r="E252" i="3"/>
  <c r="F252" i="3"/>
  <c r="I252" i="3"/>
  <c r="J252" i="3"/>
  <c r="A253" i="3"/>
  <c r="C253" i="3"/>
  <c r="D253" i="3"/>
  <c r="E253" i="3"/>
  <c r="F253" i="3"/>
  <c r="I253" i="3"/>
  <c r="J253" i="3"/>
  <c r="A254" i="3"/>
  <c r="C254" i="3"/>
  <c r="D254" i="3"/>
  <c r="E254" i="3"/>
  <c r="F254" i="3"/>
  <c r="I254" i="3"/>
  <c r="J254" i="3"/>
  <c r="A255" i="3"/>
  <c r="C255" i="3"/>
  <c r="D255" i="3"/>
  <c r="E255" i="3"/>
  <c r="F255" i="3"/>
  <c r="I255" i="3"/>
  <c r="J255" i="3"/>
  <c r="A256" i="3"/>
  <c r="C256" i="3"/>
  <c r="D256" i="3"/>
  <c r="E256" i="3"/>
  <c r="F256" i="3"/>
  <c r="I256" i="3"/>
  <c r="J256" i="3"/>
  <c r="A257" i="3"/>
  <c r="C257" i="3"/>
  <c r="D257" i="3"/>
  <c r="E257" i="3"/>
  <c r="F257" i="3"/>
  <c r="I257" i="3"/>
  <c r="J257" i="3"/>
  <c r="A258" i="3"/>
  <c r="C258" i="3"/>
  <c r="D258" i="3"/>
  <c r="E258" i="3"/>
  <c r="F258" i="3"/>
  <c r="I258" i="3"/>
  <c r="J258" i="3"/>
  <c r="A259" i="3"/>
  <c r="C259" i="3"/>
  <c r="D259" i="3"/>
  <c r="E259" i="3"/>
  <c r="F259" i="3"/>
  <c r="I259" i="3"/>
  <c r="J259" i="3"/>
  <c r="A260" i="3"/>
  <c r="C260" i="3"/>
  <c r="D260" i="3"/>
  <c r="E260" i="3"/>
  <c r="F260" i="3"/>
  <c r="I260" i="3"/>
  <c r="J260" i="3"/>
  <c r="A261" i="3"/>
  <c r="C261" i="3"/>
  <c r="D261" i="3"/>
  <c r="E261" i="3"/>
  <c r="F261" i="3"/>
  <c r="I261" i="3"/>
  <c r="J261" i="3"/>
  <c r="A262" i="3"/>
  <c r="C262" i="3"/>
  <c r="D262" i="3"/>
  <c r="E262" i="3"/>
  <c r="F262" i="3"/>
  <c r="I262" i="3"/>
  <c r="J262" i="3"/>
  <c r="A263" i="3"/>
  <c r="C263" i="3"/>
  <c r="D263" i="3"/>
  <c r="E263" i="3"/>
  <c r="F263" i="3"/>
  <c r="I263" i="3"/>
  <c r="J263" i="3"/>
  <c r="A264" i="3"/>
  <c r="C264" i="3"/>
  <c r="D264" i="3"/>
  <c r="E264" i="3"/>
  <c r="F264" i="3"/>
  <c r="I264" i="3"/>
  <c r="J264" i="3"/>
  <c r="A265" i="3"/>
  <c r="C265" i="3"/>
  <c r="D265" i="3"/>
  <c r="E265" i="3"/>
  <c r="F265" i="3"/>
  <c r="I265" i="3"/>
  <c r="J265" i="3"/>
  <c r="A266" i="3"/>
  <c r="C266" i="3"/>
  <c r="D266" i="3"/>
  <c r="E266" i="3"/>
  <c r="F266" i="3"/>
  <c r="I266" i="3"/>
  <c r="J266" i="3"/>
  <c r="A267" i="3"/>
  <c r="C267" i="3"/>
  <c r="D267" i="3"/>
  <c r="E267" i="3"/>
  <c r="F267" i="3"/>
  <c r="I267" i="3"/>
  <c r="J267" i="3"/>
  <c r="A268" i="3"/>
  <c r="C268" i="3"/>
  <c r="D268" i="3"/>
  <c r="E268" i="3"/>
  <c r="F268" i="3"/>
  <c r="I268" i="3"/>
  <c r="J268" i="3"/>
  <c r="A269" i="3"/>
  <c r="C269" i="3"/>
  <c r="D269" i="3"/>
  <c r="E269" i="3"/>
  <c r="F269" i="3"/>
  <c r="I269" i="3"/>
  <c r="J269" i="3"/>
  <c r="A270" i="3"/>
  <c r="C270" i="3"/>
  <c r="D270" i="3"/>
  <c r="E270" i="3"/>
  <c r="F270" i="3"/>
  <c r="I270" i="3"/>
  <c r="J270" i="3"/>
  <c r="A271" i="3"/>
  <c r="C271" i="3"/>
  <c r="D271" i="3"/>
  <c r="E271" i="3"/>
  <c r="F271" i="3"/>
  <c r="I271" i="3"/>
  <c r="J271" i="3"/>
  <c r="A272" i="3"/>
  <c r="C272" i="3"/>
  <c r="D272" i="3"/>
  <c r="E272" i="3"/>
  <c r="F272" i="3"/>
  <c r="I272" i="3"/>
  <c r="J272" i="3"/>
  <c r="A273" i="3"/>
  <c r="C273" i="3"/>
  <c r="D273" i="3"/>
  <c r="E273" i="3"/>
  <c r="F273" i="3"/>
  <c r="I273" i="3"/>
  <c r="J273" i="3"/>
  <c r="A274" i="3"/>
  <c r="C274" i="3"/>
  <c r="D274" i="3"/>
  <c r="E274" i="3"/>
  <c r="F274" i="3"/>
  <c r="I274" i="3"/>
  <c r="J274" i="3"/>
  <c r="A275" i="3"/>
  <c r="C275" i="3"/>
  <c r="D275" i="3"/>
  <c r="E275" i="3"/>
  <c r="F275" i="3"/>
  <c r="I275" i="3"/>
  <c r="J275" i="3"/>
  <c r="A276" i="3"/>
  <c r="C276" i="3"/>
  <c r="D276" i="3"/>
  <c r="E276" i="3"/>
  <c r="F276" i="3"/>
  <c r="I276" i="3"/>
  <c r="J276" i="3"/>
  <c r="A277" i="3"/>
  <c r="C277" i="3"/>
  <c r="D277" i="3"/>
  <c r="E277" i="3"/>
  <c r="F277" i="3"/>
  <c r="I277" i="3"/>
  <c r="J277" i="3"/>
  <c r="A278" i="3"/>
  <c r="C278" i="3"/>
  <c r="D278" i="3"/>
  <c r="E278" i="3"/>
  <c r="F278" i="3"/>
  <c r="I278" i="3"/>
  <c r="J278" i="3"/>
  <c r="A279" i="3"/>
  <c r="C279" i="3"/>
  <c r="D279" i="3"/>
  <c r="E279" i="3"/>
  <c r="F279" i="3"/>
  <c r="I279" i="3"/>
  <c r="J279" i="3"/>
  <c r="A280" i="3"/>
  <c r="C280" i="3"/>
  <c r="D280" i="3"/>
  <c r="E280" i="3"/>
  <c r="F280" i="3"/>
  <c r="I280" i="3"/>
  <c r="J280" i="3"/>
  <c r="A281" i="3"/>
  <c r="C281" i="3"/>
  <c r="D281" i="3"/>
  <c r="E281" i="3"/>
  <c r="F281" i="3"/>
  <c r="I281" i="3"/>
  <c r="J281" i="3"/>
  <c r="A282" i="3"/>
  <c r="C282" i="3"/>
  <c r="D282" i="3"/>
  <c r="E282" i="3"/>
  <c r="F282" i="3"/>
  <c r="I282" i="3"/>
  <c r="J282" i="3"/>
  <c r="A283" i="3"/>
  <c r="C283" i="3"/>
  <c r="D283" i="3"/>
  <c r="E283" i="3"/>
  <c r="F283" i="3"/>
  <c r="I283" i="3"/>
  <c r="J283" i="3"/>
  <c r="A284" i="3"/>
  <c r="C284" i="3"/>
  <c r="D284" i="3"/>
  <c r="E284" i="3"/>
  <c r="F284" i="3"/>
  <c r="I284" i="3"/>
  <c r="J284" i="3"/>
  <c r="A285" i="3"/>
  <c r="C285" i="3"/>
  <c r="D285" i="3"/>
  <c r="E285" i="3"/>
  <c r="F285" i="3"/>
  <c r="I285" i="3"/>
  <c r="J285" i="3"/>
  <c r="A286" i="3"/>
  <c r="C286" i="3"/>
  <c r="D286" i="3"/>
  <c r="E286" i="3"/>
  <c r="F286" i="3"/>
  <c r="I286" i="3"/>
  <c r="J286" i="3"/>
  <c r="A287" i="3"/>
  <c r="C287" i="3"/>
  <c r="D287" i="3"/>
  <c r="E287" i="3"/>
  <c r="F287" i="3"/>
  <c r="I287" i="3"/>
  <c r="J287" i="3"/>
  <c r="A288" i="3"/>
  <c r="C288" i="3"/>
  <c r="D288" i="3"/>
  <c r="E288" i="3"/>
  <c r="F288" i="3"/>
  <c r="I288" i="3"/>
  <c r="J288" i="3"/>
  <c r="A289" i="3"/>
  <c r="C289" i="3"/>
  <c r="D289" i="3"/>
  <c r="E289" i="3"/>
  <c r="F289" i="3"/>
  <c r="I289" i="3"/>
  <c r="J289" i="3"/>
  <c r="A290" i="3"/>
  <c r="C290" i="3"/>
  <c r="D290" i="3"/>
  <c r="E290" i="3"/>
  <c r="F290" i="3"/>
  <c r="I290" i="3"/>
  <c r="J290" i="3"/>
  <c r="A291" i="3"/>
  <c r="C291" i="3"/>
  <c r="D291" i="3"/>
  <c r="E291" i="3"/>
  <c r="F291" i="3"/>
  <c r="I291" i="3"/>
  <c r="J291" i="3"/>
  <c r="A292" i="3"/>
  <c r="C292" i="3"/>
  <c r="D292" i="3"/>
  <c r="E292" i="3"/>
  <c r="F292" i="3"/>
  <c r="I292" i="3"/>
  <c r="J292" i="3"/>
  <c r="A293" i="3"/>
  <c r="C293" i="3"/>
  <c r="D293" i="3"/>
  <c r="E293" i="3"/>
  <c r="F293" i="3"/>
  <c r="I293" i="3"/>
  <c r="J293" i="3"/>
  <c r="A294" i="3"/>
  <c r="C294" i="3"/>
  <c r="D294" i="3"/>
  <c r="E294" i="3"/>
  <c r="F294" i="3"/>
  <c r="I294" i="3"/>
  <c r="J294" i="3"/>
  <c r="A295" i="3"/>
  <c r="C295" i="3"/>
  <c r="D295" i="3"/>
  <c r="E295" i="3"/>
  <c r="F295" i="3"/>
  <c r="I295" i="3"/>
  <c r="J295" i="3"/>
  <c r="A296" i="3"/>
  <c r="C296" i="3"/>
  <c r="D296" i="3"/>
  <c r="E296" i="3"/>
  <c r="F296" i="3"/>
  <c r="I296" i="3"/>
  <c r="J296" i="3"/>
  <c r="A297" i="3"/>
  <c r="C297" i="3"/>
  <c r="D297" i="3"/>
  <c r="E297" i="3"/>
  <c r="F297" i="3"/>
  <c r="I297" i="3"/>
  <c r="J297" i="3"/>
  <c r="A298" i="3"/>
  <c r="C298" i="3"/>
  <c r="D298" i="3"/>
  <c r="E298" i="3"/>
  <c r="F298" i="3"/>
  <c r="I298" i="3"/>
  <c r="J298" i="3"/>
  <c r="A299" i="3"/>
  <c r="C299" i="3"/>
  <c r="D299" i="3"/>
  <c r="E299" i="3"/>
  <c r="F299" i="3"/>
  <c r="I299" i="3"/>
  <c r="J299" i="3"/>
  <c r="A300" i="3"/>
  <c r="C300" i="3"/>
  <c r="D300" i="3"/>
  <c r="E300" i="3"/>
  <c r="F300" i="3"/>
  <c r="I300" i="3"/>
  <c r="J300" i="3"/>
  <c r="A301" i="3"/>
  <c r="C301" i="3"/>
  <c r="D301" i="3"/>
  <c r="E301" i="3"/>
  <c r="F301" i="3"/>
  <c r="I301" i="3"/>
  <c r="J301" i="3"/>
  <c r="A302" i="3"/>
  <c r="C302" i="3"/>
  <c r="D302" i="3"/>
  <c r="E302" i="3"/>
  <c r="F302" i="3"/>
  <c r="I302" i="3"/>
  <c r="J302" i="3"/>
  <c r="A303" i="3"/>
  <c r="C303" i="3"/>
  <c r="D303" i="3"/>
  <c r="E303" i="3"/>
  <c r="F303" i="3"/>
  <c r="I303" i="3"/>
  <c r="J303" i="3"/>
  <c r="A304" i="3"/>
  <c r="C304" i="3"/>
  <c r="D304" i="3"/>
  <c r="E304" i="3"/>
  <c r="F304" i="3"/>
  <c r="I304" i="3"/>
  <c r="J304" i="3"/>
  <c r="A305" i="3"/>
  <c r="C305" i="3"/>
  <c r="D305" i="3"/>
  <c r="E305" i="3"/>
  <c r="F305" i="3"/>
  <c r="I305" i="3"/>
  <c r="J305" i="3"/>
  <c r="A306" i="3"/>
  <c r="C306" i="3"/>
  <c r="D306" i="3"/>
  <c r="E306" i="3"/>
  <c r="F306" i="3"/>
  <c r="I306" i="3"/>
  <c r="J306" i="3"/>
  <c r="A307" i="3"/>
  <c r="C307" i="3"/>
  <c r="D307" i="3"/>
  <c r="E307" i="3"/>
  <c r="F307" i="3"/>
  <c r="I307" i="3"/>
  <c r="J307" i="3"/>
  <c r="A308" i="3"/>
  <c r="C308" i="3"/>
  <c r="D308" i="3"/>
  <c r="E308" i="3"/>
  <c r="F308" i="3"/>
  <c r="I308" i="3"/>
  <c r="J308" i="3"/>
  <c r="A309" i="3"/>
  <c r="C309" i="3"/>
  <c r="D309" i="3"/>
  <c r="E309" i="3"/>
  <c r="F309" i="3"/>
  <c r="I309" i="3"/>
  <c r="J309" i="3"/>
  <c r="A310" i="3"/>
  <c r="C310" i="3"/>
  <c r="D310" i="3"/>
  <c r="E310" i="3"/>
  <c r="F310" i="3"/>
  <c r="I310" i="3"/>
  <c r="J310" i="3"/>
  <c r="A311" i="3"/>
  <c r="C311" i="3"/>
  <c r="D311" i="3"/>
  <c r="E311" i="3"/>
  <c r="F311" i="3"/>
  <c r="I311" i="3"/>
  <c r="J311" i="3"/>
  <c r="A312" i="3"/>
  <c r="C312" i="3"/>
  <c r="D312" i="3"/>
  <c r="E312" i="3"/>
  <c r="F312" i="3"/>
  <c r="I312" i="3"/>
  <c r="J312" i="3"/>
  <c r="A313" i="3"/>
  <c r="C313" i="3"/>
  <c r="D313" i="3"/>
  <c r="E313" i="3"/>
  <c r="F313" i="3"/>
  <c r="I313" i="3"/>
  <c r="J313" i="3"/>
  <c r="A314" i="3"/>
  <c r="C314" i="3"/>
  <c r="D314" i="3"/>
  <c r="E314" i="3"/>
  <c r="F314" i="3"/>
  <c r="I314" i="3"/>
  <c r="J314" i="3"/>
  <c r="A315" i="3"/>
  <c r="C315" i="3"/>
  <c r="D315" i="3"/>
  <c r="E315" i="3"/>
  <c r="F315" i="3"/>
  <c r="I315" i="3"/>
  <c r="J315" i="3"/>
  <c r="A316" i="3"/>
  <c r="C316" i="3"/>
  <c r="D316" i="3"/>
  <c r="E316" i="3"/>
  <c r="F316" i="3"/>
  <c r="I316" i="3"/>
  <c r="J316" i="3"/>
  <c r="A317" i="3"/>
  <c r="C317" i="3"/>
  <c r="D317" i="3"/>
  <c r="E317" i="3"/>
  <c r="F317" i="3"/>
  <c r="I317" i="3"/>
  <c r="J317" i="3"/>
  <c r="A318" i="3"/>
  <c r="C318" i="3"/>
  <c r="D318" i="3"/>
  <c r="E318" i="3"/>
  <c r="F318" i="3"/>
  <c r="I318" i="3"/>
  <c r="J318" i="3"/>
  <c r="A319" i="3"/>
  <c r="C319" i="3"/>
  <c r="D319" i="3"/>
  <c r="E319" i="3"/>
  <c r="F319" i="3"/>
  <c r="I319" i="3"/>
  <c r="J319" i="3"/>
  <c r="A320" i="3"/>
  <c r="C320" i="3"/>
  <c r="D320" i="3"/>
  <c r="E320" i="3"/>
  <c r="F320" i="3"/>
  <c r="I320" i="3"/>
  <c r="J320" i="3"/>
  <c r="A321" i="3"/>
  <c r="C321" i="3"/>
  <c r="D321" i="3"/>
  <c r="E321" i="3"/>
  <c r="F321" i="3"/>
  <c r="I321" i="3"/>
  <c r="J321" i="3"/>
  <c r="A322" i="3"/>
  <c r="C322" i="3"/>
  <c r="D322" i="3"/>
  <c r="E322" i="3"/>
  <c r="F322" i="3"/>
  <c r="I322" i="3"/>
  <c r="J322" i="3"/>
  <c r="A323" i="3"/>
  <c r="C323" i="3"/>
  <c r="D323" i="3"/>
  <c r="E323" i="3"/>
  <c r="F323" i="3"/>
  <c r="I323" i="3"/>
  <c r="J323" i="3"/>
  <c r="A324" i="3"/>
  <c r="C324" i="3"/>
  <c r="D324" i="3"/>
  <c r="E324" i="3"/>
  <c r="F324" i="3"/>
  <c r="I324" i="3"/>
  <c r="J324" i="3"/>
  <c r="A325" i="3"/>
  <c r="C325" i="3"/>
  <c r="D325" i="3"/>
  <c r="E325" i="3"/>
  <c r="F325" i="3"/>
  <c r="I325" i="3"/>
  <c r="J325" i="3"/>
  <c r="A326" i="3"/>
  <c r="C326" i="3"/>
  <c r="D326" i="3"/>
  <c r="E326" i="3"/>
  <c r="F326" i="3"/>
  <c r="I326" i="3"/>
  <c r="J326" i="3"/>
  <c r="A327" i="3"/>
  <c r="C327" i="3"/>
  <c r="D327" i="3"/>
  <c r="E327" i="3"/>
  <c r="F327" i="3"/>
  <c r="I327" i="3"/>
  <c r="J327" i="3"/>
  <c r="A328" i="3"/>
  <c r="C328" i="3"/>
  <c r="D328" i="3"/>
  <c r="E328" i="3"/>
  <c r="F328" i="3"/>
  <c r="I328" i="3"/>
  <c r="J328" i="3"/>
  <c r="A329" i="3"/>
  <c r="C329" i="3"/>
  <c r="D329" i="3"/>
  <c r="E329" i="3"/>
  <c r="F329" i="3"/>
  <c r="I329" i="3"/>
  <c r="J329" i="3"/>
  <c r="A330" i="3"/>
  <c r="C330" i="3"/>
  <c r="D330" i="3"/>
  <c r="E330" i="3"/>
  <c r="F330" i="3"/>
  <c r="I330" i="3"/>
  <c r="J330" i="3"/>
  <c r="A331" i="3"/>
  <c r="C331" i="3"/>
  <c r="D331" i="3"/>
  <c r="E331" i="3"/>
  <c r="F331" i="3"/>
  <c r="I331" i="3"/>
  <c r="J331" i="3"/>
  <c r="A332" i="3"/>
  <c r="C332" i="3"/>
  <c r="D332" i="3"/>
  <c r="E332" i="3"/>
  <c r="F332" i="3"/>
  <c r="I332" i="3"/>
  <c r="J332" i="3"/>
  <c r="A333" i="3"/>
  <c r="C333" i="3"/>
  <c r="D333" i="3"/>
  <c r="E333" i="3"/>
  <c r="F333" i="3"/>
  <c r="I333" i="3"/>
  <c r="J333" i="3"/>
  <c r="A334" i="3"/>
  <c r="C334" i="3"/>
  <c r="D334" i="3"/>
  <c r="E334" i="3"/>
  <c r="F334" i="3"/>
  <c r="I334" i="3"/>
  <c r="J334" i="3"/>
  <c r="A335" i="3"/>
  <c r="C335" i="3"/>
  <c r="D335" i="3"/>
  <c r="E335" i="3"/>
  <c r="F335" i="3"/>
  <c r="I335" i="3"/>
  <c r="J335" i="3"/>
  <c r="A336" i="3"/>
  <c r="C336" i="3"/>
  <c r="D336" i="3"/>
  <c r="E336" i="3"/>
  <c r="F336" i="3"/>
  <c r="I336" i="3"/>
  <c r="J336" i="3"/>
  <c r="A337" i="3"/>
  <c r="C337" i="3"/>
  <c r="D337" i="3"/>
  <c r="E337" i="3"/>
  <c r="F337" i="3"/>
  <c r="I337" i="3"/>
  <c r="J337" i="3"/>
  <c r="A338" i="3"/>
  <c r="C338" i="3"/>
  <c r="D338" i="3"/>
  <c r="E338" i="3"/>
  <c r="F338" i="3"/>
  <c r="I338" i="3"/>
  <c r="J338" i="3"/>
  <c r="A339" i="3"/>
  <c r="C339" i="3"/>
  <c r="D339" i="3"/>
  <c r="E339" i="3"/>
  <c r="F339" i="3"/>
  <c r="I339" i="3"/>
  <c r="J339" i="3"/>
  <c r="A340" i="3"/>
  <c r="C340" i="3"/>
  <c r="D340" i="3"/>
  <c r="E340" i="3"/>
  <c r="F340" i="3"/>
  <c r="I340" i="3"/>
  <c r="J340" i="3"/>
  <c r="A341" i="3"/>
  <c r="C341" i="3"/>
  <c r="D341" i="3"/>
  <c r="E341" i="3"/>
  <c r="F341" i="3"/>
  <c r="I341" i="3"/>
  <c r="J341" i="3"/>
  <c r="A342" i="3"/>
  <c r="C342" i="3"/>
  <c r="D342" i="3"/>
  <c r="E342" i="3"/>
  <c r="F342" i="3"/>
  <c r="I342" i="3"/>
  <c r="J342" i="3"/>
  <c r="A343" i="3"/>
  <c r="C343" i="3"/>
  <c r="D343" i="3"/>
  <c r="E343" i="3"/>
  <c r="F343" i="3"/>
  <c r="I343" i="3"/>
  <c r="J343" i="3"/>
  <c r="A344" i="3"/>
  <c r="C344" i="3"/>
  <c r="D344" i="3"/>
  <c r="E344" i="3"/>
  <c r="F344" i="3"/>
  <c r="I344" i="3"/>
  <c r="J344" i="3"/>
  <c r="A345" i="3"/>
  <c r="C345" i="3"/>
  <c r="D345" i="3"/>
  <c r="E345" i="3"/>
  <c r="F345" i="3"/>
  <c r="I345" i="3"/>
  <c r="J345" i="3"/>
  <c r="A346" i="3"/>
  <c r="C346" i="3"/>
  <c r="D346" i="3"/>
  <c r="E346" i="3"/>
  <c r="F346" i="3"/>
  <c r="I346" i="3"/>
  <c r="J346" i="3"/>
  <c r="A347" i="3"/>
  <c r="C347" i="3"/>
  <c r="D347" i="3"/>
  <c r="E347" i="3"/>
  <c r="F347" i="3"/>
  <c r="I347" i="3"/>
  <c r="J347" i="3"/>
  <c r="A348" i="3"/>
  <c r="C348" i="3"/>
  <c r="D348" i="3"/>
  <c r="E348" i="3"/>
  <c r="F348" i="3"/>
  <c r="I348" i="3"/>
  <c r="J348" i="3"/>
  <c r="A349" i="3"/>
  <c r="C349" i="3"/>
  <c r="D349" i="3"/>
  <c r="E349" i="3"/>
  <c r="F349" i="3"/>
  <c r="I349" i="3"/>
  <c r="J349" i="3"/>
  <c r="A350" i="3"/>
  <c r="C350" i="3"/>
  <c r="D350" i="3"/>
  <c r="E350" i="3"/>
  <c r="F350" i="3"/>
  <c r="I350" i="3"/>
  <c r="J350" i="3"/>
  <c r="A351" i="3"/>
  <c r="C351" i="3"/>
  <c r="D351" i="3"/>
  <c r="E351" i="3"/>
  <c r="F351" i="3"/>
  <c r="I351" i="3"/>
  <c r="J351" i="3"/>
  <c r="A352" i="3"/>
  <c r="C352" i="3"/>
  <c r="D352" i="3"/>
  <c r="E352" i="3"/>
  <c r="F352" i="3"/>
  <c r="I352" i="3"/>
  <c r="J352" i="3"/>
  <c r="A353" i="3"/>
  <c r="C353" i="3"/>
  <c r="D353" i="3"/>
  <c r="E353" i="3"/>
  <c r="F353" i="3"/>
  <c r="I353" i="3"/>
  <c r="J353" i="3"/>
  <c r="A354" i="3"/>
  <c r="C354" i="3"/>
  <c r="D354" i="3"/>
  <c r="E354" i="3"/>
  <c r="F354" i="3"/>
  <c r="I354" i="3"/>
  <c r="J354" i="3"/>
  <c r="A355" i="3"/>
  <c r="C355" i="3"/>
  <c r="D355" i="3"/>
  <c r="E355" i="3"/>
  <c r="F355" i="3"/>
  <c r="I355" i="3"/>
  <c r="J355" i="3"/>
  <c r="A356" i="3"/>
  <c r="C356" i="3"/>
  <c r="D356" i="3"/>
  <c r="E356" i="3"/>
  <c r="F356" i="3"/>
  <c r="I356" i="3"/>
  <c r="J356" i="3"/>
  <c r="A357" i="3"/>
  <c r="C357" i="3"/>
  <c r="D357" i="3"/>
  <c r="E357" i="3"/>
  <c r="F357" i="3"/>
  <c r="I357" i="3"/>
  <c r="J357" i="3"/>
  <c r="A358" i="3"/>
  <c r="C358" i="3"/>
  <c r="D358" i="3"/>
  <c r="E358" i="3"/>
  <c r="F358" i="3"/>
  <c r="I358" i="3"/>
  <c r="J358" i="3"/>
  <c r="A359" i="3"/>
  <c r="C359" i="3"/>
  <c r="D359" i="3"/>
  <c r="E359" i="3"/>
  <c r="F359" i="3"/>
  <c r="I359" i="3"/>
  <c r="J359" i="3"/>
  <c r="A360" i="3"/>
  <c r="C360" i="3"/>
  <c r="D360" i="3"/>
  <c r="E360" i="3"/>
  <c r="F360" i="3"/>
  <c r="I360" i="3"/>
  <c r="J360" i="3"/>
  <c r="A361" i="3"/>
  <c r="C361" i="3"/>
  <c r="D361" i="3"/>
  <c r="E361" i="3"/>
  <c r="F361" i="3"/>
  <c r="I361" i="3"/>
  <c r="J361" i="3"/>
  <c r="A362" i="3"/>
  <c r="C362" i="3"/>
  <c r="D362" i="3"/>
  <c r="E362" i="3"/>
  <c r="F362" i="3"/>
  <c r="I362" i="3"/>
  <c r="J362" i="3"/>
  <c r="A363" i="3"/>
  <c r="C363" i="3"/>
  <c r="D363" i="3"/>
  <c r="E363" i="3"/>
  <c r="F363" i="3"/>
  <c r="I363" i="3"/>
  <c r="J363" i="3"/>
  <c r="A364" i="3"/>
  <c r="C364" i="3"/>
  <c r="D364" i="3"/>
  <c r="E364" i="3"/>
  <c r="F364" i="3"/>
  <c r="I364" i="3"/>
  <c r="J364" i="3"/>
  <c r="A365" i="3"/>
  <c r="C365" i="3"/>
  <c r="D365" i="3"/>
  <c r="E365" i="3"/>
  <c r="F365" i="3"/>
  <c r="I365" i="3"/>
  <c r="J365" i="3"/>
  <c r="A366" i="3"/>
  <c r="C366" i="3"/>
  <c r="D366" i="3"/>
  <c r="E366" i="3"/>
  <c r="F366" i="3"/>
  <c r="I366" i="3"/>
  <c r="J366" i="3"/>
  <c r="A367" i="3"/>
  <c r="C367" i="3"/>
  <c r="D367" i="3"/>
  <c r="E367" i="3"/>
  <c r="F367" i="3"/>
  <c r="I367" i="3"/>
  <c r="J367" i="3"/>
  <c r="A368" i="3"/>
  <c r="C368" i="3"/>
  <c r="D368" i="3"/>
  <c r="E368" i="3"/>
  <c r="F368" i="3"/>
  <c r="I368" i="3"/>
  <c r="J368" i="3"/>
  <c r="A369" i="3"/>
  <c r="C369" i="3"/>
  <c r="D369" i="3"/>
  <c r="E369" i="3"/>
  <c r="F369" i="3"/>
  <c r="I369" i="3"/>
  <c r="J369" i="3"/>
  <c r="A370" i="3"/>
  <c r="C370" i="3"/>
  <c r="D370" i="3"/>
  <c r="E370" i="3"/>
  <c r="F370" i="3"/>
  <c r="I370" i="3"/>
  <c r="J370" i="3"/>
  <c r="K14" i="1"/>
  <c r="A371" i="3"/>
  <c r="C371" i="3"/>
  <c r="D371" i="3"/>
  <c r="E371" i="3"/>
  <c r="F371" i="3"/>
  <c r="I371" i="3"/>
  <c r="J371" i="3"/>
  <c r="A372" i="3"/>
  <c r="C372" i="3"/>
  <c r="D372" i="3"/>
  <c r="E372" i="3"/>
  <c r="F372" i="3"/>
  <c r="I372" i="3"/>
  <c r="J372" i="3"/>
  <c r="A373" i="3"/>
  <c r="C373" i="3"/>
  <c r="D373" i="3"/>
  <c r="E373" i="3"/>
  <c r="F373" i="3"/>
  <c r="I373" i="3"/>
  <c r="J373" i="3"/>
  <c r="A374" i="3"/>
  <c r="C374" i="3"/>
  <c r="D374" i="3"/>
  <c r="E374" i="3"/>
  <c r="F374" i="3"/>
  <c r="I374" i="3"/>
  <c r="J374" i="3"/>
  <c r="A375" i="3"/>
  <c r="C375" i="3"/>
  <c r="D375" i="3"/>
  <c r="E375" i="3"/>
  <c r="F375" i="3"/>
  <c r="I375" i="3"/>
  <c r="J375" i="3"/>
  <c r="A376" i="3"/>
  <c r="C376" i="3"/>
  <c r="D376" i="3"/>
  <c r="E376" i="3"/>
  <c r="F376" i="3"/>
  <c r="I376" i="3"/>
  <c r="J376" i="3"/>
  <c r="A377" i="3"/>
  <c r="C377" i="3"/>
  <c r="D377" i="3"/>
  <c r="E377" i="3"/>
  <c r="F377" i="3"/>
  <c r="I377" i="3"/>
  <c r="J377" i="3"/>
  <c r="K134" i="1"/>
  <c r="K116" i="1"/>
  <c r="K79" i="1"/>
  <c r="K80" i="1"/>
  <c r="K73" i="1"/>
  <c r="K150" i="1"/>
  <c r="K62" i="1" l="1"/>
  <c r="K45" i="1"/>
  <c r="K46" i="1"/>
  <c r="K175" i="1"/>
  <c r="K108" i="1" l="1"/>
  <c r="K109" i="1"/>
  <c r="K110" i="1"/>
  <c r="K214" i="1"/>
  <c r="K113" i="1"/>
  <c r="K107" i="1"/>
  <c r="K203" i="1"/>
  <c r="K215" i="1" l="1"/>
  <c r="K127" i="1"/>
  <c r="K75" i="1"/>
  <c r="K78" i="1"/>
  <c r="K77" i="1"/>
  <c r="K72" i="1"/>
  <c r="K61" i="1"/>
  <c r="K44" i="1"/>
  <c r="K31" i="1"/>
  <c r="K194" i="1"/>
  <c r="K181" i="1"/>
  <c r="K177" i="1"/>
  <c r="K174" i="1"/>
  <c r="K204" i="1"/>
  <c r="K144" i="1"/>
  <c r="K244" i="1"/>
  <c r="K243" i="1"/>
  <c r="K242" i="1"/>
  <c r="K241" i="1"/>
  <c r="K240" i="1"/>
  <c r="K239" i="1"/>
  <c r="K114" i="1"/>
  <c r="K120" i="1"/>
  <c r="K213" i="1"/>
  <c r="K37" i="1"/>
  <c r="K191" i="1" l="1"/>
  <c r="K69" i="1"/>
  <c r="K138" i="1" l="1"/>
  <c r="K97" i="1"/>
  <c r="K28" i="1"/>
  <c r="K190" i="1"/>
  <c r="K184" i="1"/>
  <c r="K53" i="1"/>
  <c r="K254" i="1" l="1"/>
  <c r="K249" i="1"/>
  <c r="K65" i="1" l="1"/>
  <c r="K57" i="1"/>
  <c r="K178" i="1"/>
  <c r="K171" i="1"/>
  <c r="K124" i="1"/>
  <c r="K123" i="1"/>
  <c r="K64" i="1" l="1"/>
  <c r="K39" i="1"/>
  <c r="K201" i="1"/>
  <c r="K180" i="1"/>
  <c r="K179" i="1"/>
  <c r="K164" i="1"/>
  <c r="K24" i="1"/>
  <c r="K23" i="1"/>
  <c r="K74" i="1"/>
  <c r="K55" i="1"/>
  <c r="K262" i="1"/>
  <c r="K125" i="1"/>
  <c r="K119" i="1"/>
  <c r="K60" i="1" l="1"/>
  <c r="K59" i="1" l="1"/>
  <c r="K17" i="1" l="1"/>
  <c r="K143" i="1"/>
  <c r="K140" i="1"/>
  <c r="K216" i="1"/>
  <c r="K212" i="1"/>
  <c r="K102" i="1"/>
  <c r="K98" i="1"/>
  <c r="K128" i="1"/>
  <c r="K147" i="1"/>
  <c r="K137" i="1"/>
  <c r="K121" i="1"/>
  <c r="K43" i="1" l="1"/>
  <c r="K251" i="1"/>
  <c r="K250" i="1"/>
  <c r="K235" i="1"/>
  <c r="K232" i="1"/>
  <c r="K229" i="1"/>
  <c r="K225" i="1"/>
  <c r="K221" i="1"/>
  <c r="K50" i="1"/>
  <c r="K68" i="1" l="1"/>
  <c r="K56" i="1"/>
  <c r="K192" i="1"/>
  <c r="K182" i="1"/>
  <c r="K169" i="1"/>
  <c r="K156" i="1" l="1"/>
  <c r="K316" i="1"/>
  <c r="K141" i="1"/>
  <c r="K136" i="1"/>
  <c r="K101" i="1"/>
  <c r="K92" i="1"/>
  <c r="K163" i="1"/>
  <c r="K106" i="1" l="1"/>
  <c r="K51" i="1" l="1"/>
  <c r="K35" i="1"/>
  <c r="K196" i="1"/>
  <c r="K195" i="1"/>
  <c r="K170" i="1"/>
  <c r="K165" i="1"/>
  <c r="K158" i="1"/>
  <c r="K260" i="1"/>
  <c r="K18" i="1" l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261" i="1"/>
  <c r="K263" i="1"/>
  <c r="K264" i="1"/>
  <c r="K245" i="1"/>
  <c r="K246" i="1"/>
  <c r="K247" i="1"/>
  <c r="K248" i="1"/>
  <c r="K252" i="1"/>
  <c r="K253" i="1"/>
  <c r="K219" i="1"/>
  <c r="K220" i="1"/>
  <c r="K222" i="1"/>
  <c r="K223" i="1"/>
  <c r="K224" i="1"/>
  <c r="K226" i="1"/>
  <c r="K227" i="1"/>
  <c r="K228" i="1"/>
  <c r="K230" i="1"/>
  <c r="K231" i="1"/>
  <c r="K233" i="1"/>
  <c r="K234" i="1"/>
  <c r="K236" i="1"/>
  <c r="K208" i="1"/>
  <c r="K209" i="1"/>
  <c r="K210" i="1"/>
  <c r="K211" i="1"/>
  <c r="K148" i="1"/>
  <c r="K149" i="1"/>
  <c r="K151" i="1"/>
  <c r="K152" i="1"/>
  <c r="K153" i="1"/>
  <c r="K154" i="1"/>
  <c r="K155" i="1"/>
  <c r="K157" i="1"/>
  <c r="K159" i="1"/>
  <c r="K160" i="1"/>
  <c r="K161" i="1"/>
  <c r="K162" i="1"/>
  <c r="K166" i="1"/>
  <c r="K168" i="1"/>
  <c r="K172" i="1"/>
  <c r="K173" i="1"/>
  <c r="K176" i="1"/>
  <c r="K183" i="1"/>
  <c r="K185" i="1"/>
  <c r="K186" i="1"/>
  <c r="K187" i="1"/>
  <c r="K188" i="1"/>
  <c r="K189" i="1"/>
  <c r="K193" i="1"/>
  <c r="K197" i="1"/>
  <c r="K198" i="1"/>
  <c r="K199" i="1"/>
  <c r="K200" i="1"/>
  <c r="K202" i="1"/>
  <c r="K29" i="1"/>
  <c r="K30" i="1"/>
  <c r="K32" i="1"/>
  <c r="K33" i="1"/>
  <c r="K34" i="1"/>
  <c r="K36" i="1"/>
  <c r="K38" i="1"/>
  <c r="K40" i="1"/>
  <c r="K41" i="1"/>
  <c r="K42" i="1"/>
  <c r="K47" i="1"/>
  <c r="K48" i="1"/>
  <c r="K49" i="1"/>
  <c r="K52" i="1"/>
  <c r="K54" i="1"/>
  <c r="K58" i="1"/>
  <c r="K63" i="1"/>
  <c r="K66" i="1"/>
  <c r="K67" i="1"/>
  <c r="K70" i="1"/>
  <c r="K71" i="1"/>
  <c r="K76" i="1"/>
  <c r="K81" i="1"/>
  <c r="K82" i="1"/>
  <c r="K83" i="1"/>
  <c r="K84" i="1"/>
  <c r="K85" i="1"/>
  <c r="K86" i="1"/>
  <c r="K87" i="1"/>
  <c r="K88" i="1"/>
  <c r="K89" i="1"/>
  <c r="K90" i="1"/>
  <c r="K91" i="1"/>
  <c r="K93" i="1"/>
  <c r="K94" i="1"/>
  <c r="K95" i="1"/>
  <c r="K96" i="1"/>
  <c r="K99" i="1"/>
  <c r="K100" i="1"/>
  <c r="K103" i="1"/>
  <c r="K104" i="1"/>
  <c r="K105" i="1"/>
  <c r="K111" i="1"/>
  <c r="K112" i="1"/>
  <c r="K115" i="1"/>
  <c r="K117" i="1"/>
  <c r="K122" i="1"/>
  <c r="K118" i="1"/>
  <c r="K126" i="1"/>
  <c r="K129" i="1"/>
  <c r="K130" i="1"/>
  <c r="K132" i="1"/>
  <c r="K133" i="1"/>
  <c r="K135" i="1"/>
  <c r="K139" i="1"/>
  <c r="K142" i="1"/>
  <c r="A3" i="3" l="1"/>
  <c r="C3" i="3"/>
  <c r="D3" i="3"/>
  <c r="E3" i="3"/>
  <c r="F3" i="3"/>
  <c r="I3" i="3"/>
  <c r="J3" i="3"/>
  <c r="K12" i="1"/>
  <c r="K13" i="1"/>
  <c r="K16" i="1" l="1"/>
  <c r="K27" i="1" l="1"/>
  <c r="K15" i="1" l="1"/>
  <c r="H385" i="1"/>
  <c r="K21" i="1" l="1"/>
  <c r="K25" i="1"/>
  <c r="K145" i="1"/>
  <c r="K205" i="1"/>
  <c r="K207" i="1"/>
  <c r="K217" i="1"/>
  <c r="K237" i="1"/>
  <c r="K255" i="1"/>
  <c r="K257" i="1"/>
  <c r="K258" i="1"/>
  <c r="K265" i="1"/>
  <c r="K267" i="1"/>
  <c r="K377" i="1"/>
  <c r="K385" i="1" l="1"/>
  <c r="G385" i="1"/>
</calcChain>
</file>

<file path=xl/sharedStrings.xml><?xml version="1.0" encoding="utf-8"?>
<sst xmlns="http://schemas.openxmlformats.org/spreadsheetml/2006/main" count="2744" uniqueCount="1320">
  <si>
    <t xml:space="preserve">ECO-FARMS BRISBANE AVAILABILITY LIST </t>
  </si>
  <si>
    <t xml:space="preserve">MONDAY 24TH TO WEDNESDAY 26TH AUGUST 2026 </t>
  </si>
  <si>
    <t>.</t>
  </si>
  <si>
    <t xml:space="preserve">CONTACT NAME : </t>
  </si>
  <si>
    <t xml:space="preserve">PLEASE CONTACT OUR SALES TEAM IF YOU HAVE QUESTIONS OR NEED ADVICE ON PRODUCE IN STOCK. </t>
  </si>
  <si>
    <t xml:space="preserve">CONTACT NUMBER : </t>
  </si>
  <si>
    <t>KATELYN</t>
  </si>
  <si>
    <t>0420 795 339</t>
  </si>
  <si>
    <t>ELLA</t>
  </si>
  <si>
    <t>0425 330 662</t>
  </si>
  <si>
    <t>PLEASE TICK OR TYPE "YES" IN THIS BOX IF YOU WOULD LIKE A CALL/TEXT TO  NOTIFY YOU OF ANY SHORTAGES. OUR TEAM WILL CALL/TEXT YOU ON THE NUMBER YOU PROVIDE ABOVE EARLY MORNING BEFORE YOUR ORDER LEAVES. THIS WILL GIVE YOU A CHANCE TO ADD A SIMILAR LINE IF THE ONE ORDERED IS UNAVAILABLE.</t>
  </si>
  <si>
    <t>OFFICE</t>
  </si>
  <si>
    <t>07 3892 2400</t>
  </si>
  <si>
    <t xml:space="preserve">  </t>
  </si>
  <si>
    <t>CLICK HERE TO ORDER ONLINE</t>
  </si>
  <si>
    <t>FRESH SPECIALS</t>
  </si>
  <si>
    <t>PRODUCT</t>
  </si>
  <si>
    <t>SIZE</t>
  </si>
  <si>
    <t>GROWER</t>
  </si>
  <si>
    <t>CODE</t>
  </si>
  <si>
    <t>CUSTOMER COMMENT OR REQUEST</t>
  </si>
  <si>
    <t>ORDER QTY</t>
  </si>
  <si>
    <t>PICK QTY</t>
  </si>
  <si>
    <t>PRICE</t>
  </si>
  <si>
    <t xml:space="preserve">Multi Buy Price or Product Info </t>
  </si>
  <si>
    <t>**SPECIAL**</t>
  </si>
  <si>
    <t>GROCERY SPECIALS</t>
  </si>
  <si>
    <t xml:space="preserve">MEDJOOL DATES 5KG </t>
  </si>
  <si>
    <t>BX</t>
  </si>
  <si>
    <t xml:space="preserve">5KG  </t>
  </si>
  <si>
    <t>KING SOLOMON</t>
  </si>
  <si>
    <t>07226525</t>
  </si>
  <si>
    <t>BACK IN STOCK</t>
  </si>
  <si>
    <t>1L</t>
  </si>
  <si>
    <t>JUAPP1FRS</t>
  </si>
  <si>
    <t>JUICE PEAR SPARKLING</t>
  </si>
  <si>
    <t>330ML</t>
  </si>
  <si>
    <t>JUPSPK350FRS</t>
  </si>
  <si>
    <t>750ML</t>
  </si>
  <si>
    <t>CHEFS CHOICE</t>
  </si>
  <si>
    <t>01200529</t>
  </si>
  <si>
    <t>1KG</t>
  </si>
  <si>
    <t>WILD NECTAR</t>
  </si>
  <si>
    <t>VEGETABLES</t>
  </si>
  <si>
    <t>ARTICHOKE JERUSALEM</t>
  </si>
  <si>
    <t>KG</t>
  </si>
  <si>
    <t>PER KG</t>
  </si>
  <si>
    <t>STORMVIEW</t>
  </si>
  <si>
    <t>ARTSTO</t>
  </si>
  <si>
    <t>ASIAN GREENS BOK CHOY</t>
  </si>
  <si>
    <t>EA</t>
  </si>
  <si>
    <t xml:space="preserve">1BN  </t>
  </si>
  <si>
    <t>10+ @ $2.80BN</t>
  </si>
  <si>
    <t>ASIAN GREENS PAK CHOY</t>
  </si>
  <si>
    <t>PENINSULA COOLIBAH</t>
  </si>
  <si>
    <t>CPAKPEN CPAKCRE CPAKLUN CPAKCOO</t>
  </si>
  <si>
    <t>BEANS HAND PICKED</t>
  </si>
  <si>
    <t>MAHAFFEY</t>
  </si>
  <si>
    <t>BEAMAH</t>
  </si>
  <si>
    <t>5KG+ @ $13 KG</t>
  </si>
  <si>
    <t>BEANS MACHINE PICKED</t>
  </si>
  <si>
    <t>KALFRESH</t>
  </si>
  <si>
    <t>BEAKAL</t>
  </si>
  <si>
    <t>5KG+ @ $8.40 KG</t>
  </si>
  <si>
    <t>BEETROOT MEDIUM</t>
  </si>
  <si>
    <t>BG</t>
  </si>
  <si>
    <t>10KG</t>
  </si>
  <si>
    <t>BEETROOT LARGE</t>
  </si>
  <si>
    <t>BAUER</t>
  </si>
  <si>
    <t>BEELBAU</t>
  </si>
  <si>
    <t>BEETROOT PROCESSING</t>
  </si>
  <si>
    <t>BIOFARMS</t>
  </si>
  <si>
    <t>BEE2BEN</t>
  </si>
  <si>
    <t>BEETROOT SMALL</t>
  </si>
  <si>
    <t>BEESBEN</t>
  </si>
  <si>
    <t>BEETROOT BUNCH</t>
  </si>
  <si>
    <t>COOLIBAH</t>
  </si>
  <si>
    <t>BEEBCOO</t>
  </si>
  <si>
    <t>BEETROOT PEELED &amp; COOKED 250G</t>
  </si>
  <si>
    <t xml:space="preserve">1EA  </t>
  </si>
  <si>
    <t>LOVE BEETS</t>
  </si>
  <si>
    <t>BEELOVE</t>
  </si>
  <si>
    <t>24+ @ $3.80EA</t>
  </si>
  <si>
    <t>BROCCOLI 8KG</t>
  </si>
  <si>
    <t>8KG</t>
  </si>
  <si>
    <t>MTWHITESTONE BLACK CROW</t>
  </si>
  <si>
    <t>BROHAR BROBLC</t>
  </si>
  <si>
    <t>LIMITED</t>
  </si>
  <si>
    <t>BROCCOLI BABY PURPLE</t>
  </si>
  <si>
    <t>12BN</t>
  </si>
  <si>
    <t xml:space="preserve">2KG  </t>
  </si>
  <si>
    <t>FOOTHILLS</t>
  </si>
  <si>
    <t>EXTREMELY LIMITED</t>
  </si>
  <si>
    <t xml:space="preserve">CABBAGE GREEN </t>
  </si>
  <si>
    <t>MTWHITESTONE FORDSDALE</t>
  </si>
  <si>
    <t xml:space="preserve">CABHAR CABSUT </t>
  </si>
  <si>
    <t>12+ @ $5 EA</t>
  </si>
  <si>
    <t>CABBAGE RED</t>
  </si>
  <si>
    <t xml:space="preserve">MTWHITESTONE </t>
  </si>
  <si>
    <t xml:space="preserve">CABRHAR </t>
  </si>
  <si>
    <t>CABBAGE WOMBOK</t>
  </si>
  <si>
    <t>1EA</t>
  </si>
  <si>
    <t>CABCBAU</t>
  </si>
  <si>
    <t>6+ @ $5.50</t>
  </si>
  <si>
    <t>CAPSICUM GREEN</t>
  </si>
  <si>
    <t>5KG</t>
  </si>
  <si>
    <t xml:space="preserve">ISIS RIVER </t>
  </si>
  <si>
    <t>CAPBLA</t>
  </si>
  <si>
    <t>CAPSICUM COLOURED</t>
  </si>
  <si>
    <t>CAPCBLA</t>
  </si>
  <si>
    <t>CAPSICUM SNACKING MIX COLOUR</t>
  </si>
  <si>
    <t xml:space="preserve">3KG  </t>
  </si>
  <si>
    <t>CAPRKAL</t>
  </si>
  <si>
    <t>CARROT BUNCH</t>
  </si>
  <si>
    <t>CARDCOO</t>
  </si>
  <si>
    <t>CARROT PURPLE</t>
  </si>
  <si>
    <t>CARPBEN</t>
  </si>
  <si>
    <t>CARROT YELLOW</t>
  </si>
  <si>
    <t>BAUERS</t>
  </si>
  <si>
    <t>CARYBAU</t>
  </si>
  <si>
    <t xml:space="preserve">CARROT MEDIUM 15KG </t>
  </si>
  <si>
    <t xml:space="preserve">15KG  </t>
  </si>
  <si>
    <t>LOCKYER</t>
  </si>
  <si>
    <t>CARXLOC</t>
  </si>
  <si>
    <t xml:space="preserve">CARROT MEDIUM 18KG </t>
  </si>
  <si>
    <t>18KG</t>
  </si>
  <si>
    <t>CARXBAU</t>
  </si>
  <si>
    <t>ARAHURA</t>
  </si>
  <si>
    <t>CARXARA</t>
  </si>
  <si>
    <t>NEW LINE</t>
  </si>
  <si>
    <t>CARROT SMALL</t>
  </si>
  <si>
    <t>15KG</t>
  </si>
  <si>
    <t>CARSXARA</t>
  </si>
  <si>
    <t>CARROT MED/LARGE</t>
  </si>
  <si>
    <t>CARLARA</t>
  </si>
  <si>
    <t>CARROT JUICING</t>
  </si>
  <si>
    <t>20KG</t>
  </si>
  <si>
    <t>CARJBAU</t>
  </si>
  <si>
    <t>CARJARA</t>
  </si>
  <si>
    <t>CAULIFLOWER</t>
  </si>
  <si>
    <t>12EA</t>
  </si>
  <si>
    <t>BLACKCROW</t>
  </si>
  <si>
    <t>CAUBLC</t>
  </si>
  <si>
    <t>10EA</t>
  </si>
  <si>
    <t>MTWHITESTONE</t>
  </si>
  <si>
    <t>CAUHAR</t>
  </si>
  <si>
    <t>CELERY</t>
  </si>
  <si>
    <t>8EA</t>
  </si>
  <si>
    <t>BLACK CROW BAUER</t>
  </si>
  <si>
    <t>CELBLC CELBAU</t>
  </si>
  <si>
    <t>CELERIAC</t>
  </si>
  <si>
    <t>CELR2SGR</t>
  </si>
  <si>
    <t xml:space="preserve">CUCUMBER LEBANESE </t>
  </si>
  <si>
    <t xml:space="preserve">SUNUP </t>
  </si>
  <si>
    <t>CUCLXSUN</t>
  </si>
  <si>
    <t>CUCUMBER LEBANESE 2ND</t>
  </si>
  <si>
    <t>CUCL2XSUN</t>
  </si>
  <si>
    <t>DAIKON BUNCH</t>
  </si>
  <si>
    <t>DAIBSGR</t>
  </si>
  <si>
    <t>EGGPLANT</t>
  </si>
  <si>
    <t>ESCHALLOT</t>
  </si>
  <si>
    <t xml:space="preserve">FORDSDALE </t>
  </si>
  <si>
    <t>ESCSUT</t>
  </si>
  <si>
    <t>10+ @ $3.30 BN</t>
  </si>
  <si>
    <t>GARLIC BULBS GIANT AUSTRALIAN / RUSSIAN</t>
  </si>
  <si>
    <t>BELLBIRD</t>
  </si>
  <si>
    <t>GARRBEL</t>
  </si>
  <si>
    <t>GARLIC ITALIAN PURPLE</t>
  </si>
  <si>
    <t>MT WHITESTONE</t>
  </si>
  <si>
    <t>GARIHAR</t>
  </si>
  <si>
    <t>NEW LINE - LIMITED</t>
  </si>
  <si>
    <t>GINGER</t>
  </si>
  <si>
    <t xml:space="preserve">1KG  </t>
  </si>
  <si>
    <t>5KG+ @ $20KG</t>
  </si>
  <si>
    <t>LEEK SINGLE</t>
  </si>
  <si>
    <t>FORDSDALE</t>
  </si>
  <si>
    <t>LEESUT</t>
  </si>
  <si>
    <t>LEEK BUNCH</t>
  </si>
  <si>
    <t>BN</t>
  </si>
  <si>
    <t>LEEBSGR</t>
  </si>
  <si>
    <t>LETTUCE COS TWIN PACK</t>
  </si>
  <si>
    <t>8X2PK</t>
  </si>
  <si>
    <t>PENINSULA</t>
  </si>
  <si>
    <t>LETBCPEN</t>
  </si>
  <si>
    <t xml:space="preserve">LETTUCE COS </t>
  </si>
  <si>
    <t>LETCSUT</t>
  </si>
  <si>
    <t>LETTUCE ICEBERG</t>
  </si>
  <si>
    <t xml:space="preserve">BX  </t>
  </si>
  <si>
    <t>6EA</t>
  </si>
  <si>
    <t>LETTUCE BUTTER</t>
  </si>
  <si>
    <t>JARCMAN</t>
  </si>
  <si>
    <t>LETBJAR</t>
  </si>
  <si>
    <t>LETTUCE GREEN OAK</t>
  </si>
  <si>
    <t>LETGOJAR</t>
  </si>
  <si>
    <t>LETTUCE SALAD MIX PUNNET 120G</t>
  </si>
  <si>
    <t>1 PNT</t>
  </si>
  <si>
    <t>COOLIBAH HERBS</t>
  </si>
  <si>
    <t>BABSALPCOO</t>
  </si>
  <si>
    <t xml:space="preserve">15+ @ $3.75 PT </t>
  </si>
  <si>
    <t>MUSHROOMS LIONS MANE 150G</t>
  </si>
  <si>
    <t>1PNT</t>
  </si>
  <si>
    <t>WULFF &amp; CUB</t>
  </si>
  <si>
    <t>MUSLWUL</t>
  </si>
  <si>
    <t>MUSHROOMS LIONS MANE 1KG</t>
  </si>
  <si>
    <t>MUSLXWUL</t>
  </si>
  <si>
    <t>MUSHROOMS OYSTER 150G</t>
  </si>
  <si>
    <t>MUSOWUL</t>
  </si>
  <si>
    <t>MUSHROOMS OYSTER 1KG</t>
  </si>
  <si>
    <t>TR</t>
  </si>
  <si>
    <t>MUSOXWUL</t>
  </si>
  <si>
    <t>MUSHROOMS SHIITAKE 100G</t>
  </si>
  <si>
    <t>MUSSHWUL</t>
  </si>
  <si>
    <t>MUSHROOMS SHIITAKE 1KG</t>
  </si>
  <si>
    <t>MUSSHXWUL</t>
  </si>
  <si>
    <t>6PT</t>
  </si>
  <si>
    <t>BULLA PARK</t>
  </si>
  <si>
    <t>MUSSHBUL</t>
  </si>
  <si>
    <t>MUSHROOMS SWISS BROWN 180G</t>
  </si>
  <si>
    <t xml:space="preserve">6PT  </t>
  </si>
  <si>
    <t>MUSSBUL</t>
  </si>
  <si>
    <t>MUSHROOMS SWISS BROWN 2KG</t>
  </si>
  <si>
    <t>MUSSX2BUL</t>
  </si>
  <si>
    <t>MUSHROOMS SWISS BROWN 3KG FLAT</t>
  </si>
  <si>
    <t>MUSS3BUL</t>
  </si>
  <si>
    <t>MUSHROOMS SWISS BROWN 375G FLAT</t>
  </si>
  <si>
    <t>4PT</t>
  </si>
  <si>
    <t>MUSSFBUL</t>
  </si>
  <si>
    <t>MUSHROOMS SWISS BROWN MISCELLANEOUS 4KG</t>
  </si>
  <si>
    <t xml:space="preserve">4KG  </t>
  </si>
  <si>
    <t>MUSS4BUL</t>
  </si>
  <si>
    <t>MUSHROOMS WHITE 180G CUPS</t>
  </si>
  <si>
    <t>MUSBUL</t>
  </si>
  <si>
    <t>MUSHROOMS WHITE 2KG</t>
  </si>
  <si>
    <t>MUSX2BUL</t>
  </si>
  <si>
    <t>MUSHROOMS WHITE MISCELLANEOUS 4KG</t>
  </si>
  <si>
    <t>MUS4BUL</t>
  </si>
  <si>
    <t>ONION DUTCH SHALLOT</t>
  </si>
  <si>
    <t>1.5KG</t>
  </si>
  <si>
    <t>CAFRESCO</t>
  </si>
  <si>
    <t>ONISH1.5CAF</t>
  </si>
  <si>
    <t>ONION BROWN 1KG</t>
  </si>
  <si>
    <t xml:space="preserve">EA </t>
  </si>
  <si>
    <t>1kg NET</t>
  </si>
  <si>
    <t>ONI1CAF</t>
  </si>
  <si>
    <t>10+ @ $3.90 EA</t>
  </si>
  <si>
    <t>ONION BROWN 10KG</t>
  </si>
  <si>
    <t>ONICAF</t>
  </si>
  <si>
    <t>ONION BROWN 20KG</t>
  </si>
  <si>
    <t xml:space="preserve">20KG  </t>
  </si>
  <si>
    <t>ONIBEN</t>
  </si>
  <si>
    <t>ONION BROWN LARGE 20KG</t>
  </si>
  <si>
    <t>ONILCAF</t>
  </si>
  <si>
    <t>ONION BROWN PICKLING 20KG</t>
  </si>
  <si>
    <t>ONIPBEN</t>
  </si>
  <si>
    <t>ONION RED 10KG</t>
  </si>
  <si>
    <t>ONIRCAF</t>
  </si>
  <si>
    <t>ONIRBEN</t>
  </si>
  <si>
    <t>ONION RED 1KG</t>
  </si>
  <si>
    <t>ONIR1CAF</t>
  </si>
  <si>
    <t>10+ @ $4.20 EA</t>
  </si>
  <si>
    <t>ONION RED LARGE 10KG</t>
  </si>
  <si>
    <t>ONIRLCAF</t>
  </si>
  <si>
    <t>ONION RED PICKLING 20KG</t>
  </si>
  <si>
    <t>ONIRPBEN</t>
  </si>
  <si>
    <t>PARSNIP</t>
  </si>
  <si>
    <t>PARBAU</t>
  </si>
  <si>
    <t>**NEW LINE - SPECIAL**</t>
  </si>
  <si>
    <t>PEAS SNOW</t>
  </si>
  <si>
    <t>BEAUVISTA SPRINGLAKES</t>
  </si>
  <si>
    <t>PEASPR PEAMAH</t>
  </si>
  <si>
    <t>PEAS SUGARSNAP</t>
  </si>
  <si>
    <t>BEAUVISTA</t>
  </si>
  <si>
    <t>PEASMAH</t>
  </si>
  <si>
    <t>POTATO DUTCH CREAM 20KG</t>
  </si>
  <si>
    <t>BIOFARMS BAUER BLACK CROW</t>
  </si>
  <si>
    <t>POTDUXBEN POTDUXBAU POTDUXBLC</t>
  </si>
  <si>
    <t>POTATO DUTCH CREAM 15KG</t>
  </si>
  <si>
    <t>WEGNER</t>
  </si>
  <si>
    <t>POTDU15WEG</t>
  </si>
  <si>
    <t>POTATO DUTCH CREAM LARGE 20KG</t>
  </si>
  <si>
    <t>LOCKYER VALLEY</t>
  </si>
  <si>
    <t>POTDULXLOC</t>
  </si>
  <si>
    <r>
      <t xml:space="preserve">POTATO DUTCH CREAM </t>
    </r>
    <r>
      <rPr>
        <b/>
        <sz val="7"/>
        <color theme="1"/>
        <rFont val="Daytona"/>
        <family val="2"/>
      </rPr>
      <t>WASHED</t>
    </r>
    <r>
      <rPr>
        <sz val="7"/>
        <color theme="1"/>
        <rFont val="Daytona"/>
        <family val="2"/>
      </rPr>
      <t xml:space="preserve"> 15KG</t>
    </r>
  </si>
  <si>
    <t>POTDUW15BEN</t>
  </si>
  <si>
    <t>POTATO DUTCH CREAM CHAT</t>
  </si>
  <si>
    <t>BLACK CROW</t>
  </si>
  <si>
    <t>POTATO KESTRAL 15KG</t>
  </si>
  <si>
    <t>POTKEXARA</t>
  </si>
  <si>
    <t xml:space="preserve">POTATO KIPFLER </t>
  </si>
  <si>
    <t>POTKBEN</t>
  </si>
  <si>
    <t>POTATO KIPFLER WASHED 5KG</t>
  </si>
  <si>
    <t>POTKWBEN</t>
  </si>
  <si>
    <t>POTATO WHITE STAR SEBAGO</t>
  </si>
  <si>
    <t>SPRING LAKES</t>
  </si>
  <si>
    <t>POTWSSPR</t>
  </si>
  <si>
    <t xml:space="preserve">POTATO SEBAGO </t>
  </si>
  <si>
    <t>WEGNER LOCKYER</t>
  </si>
  <si>
    <t>POT15WEG POT15LOC</t>
  </si>
  <si>
    <t>POTXBLC</t>
  </si>
  <si>
    <r>
      <t xml:space="preserve">POTATO SEBAGO </t>
    </r>
    <r>
      <rPr>
        <b/>
        <sz val="7"/>
        <color theme="1"/>
        <rFont val="Daytona"/>
        <family val="2"/>
      </rPr>
      <t>WASHED</t>
    </r>
    <r>
      <rPr>
        <sz val="7"/>
        <color theme="1"/>
        <rFont val="Daytona"/>
        <family val="2"/>
      </rPr>
      <t xml:space="preserve"> 15KG</t>
    </r>
  </si>
  <si>
    <t>POTSWARA</t>
  </si>
  <si>
    <r>
      <t xml:space="preserve">POTATO SEBAGO CHAT </t>
    </r>
    <r>
      <rPr>
        <b/>
        <sz val="7"/>
        <color theme="1"/>
        <rFont val="Daytona"/>
        <family val="2"/>
      </rPr>
      <t>WASHED</t>
    </r>
    <r>
      <rPr>
        <sz val="7"/>
        <color theme="1"/>
        <rFont val="Daytona"/>
        <family val="2"/>
      </rPr>
      <t xml:space="preserve"> 15KG</t>
    </r>
  </si>
  <si>
    <t>POTCW15ARA</t>
  </si>
  <si>
    <t>PUMPKIN BUTTERNUT</t>
  </si>
  <si>
    <t>PUMBKAL</t>
  </si>
  <si>
    <t>20KG+ @ $2.40KG</t>
  </si>
  <si>
    <t>PUMPKIN JAP</t>
  </si>
  <si>
    <t>20KG+ @ $1.70KG</t>
  </si>
  <si>
    <t>PUMPKIN GREY</t>
  </si>
  <si>
    <t>PUMJCAF</t>
  </si>
  <si>
    <t>20KG+ @ $1.40KG</t>
  </si>
  <si>
    <t>RADISH</t>
  </si>
  <si>
    <t>PENINSULA FIFTH ACRE JARCMAN</t>
  </si>
  <si>
    <t>RADPEN RADCHA RADJAR</t>
  </si>
  <si>
    <t>SILVERBEET</t>
  </si>
  <si>
    <t>PENINSULA COOLIBAH CAFRESCO</t>
  </si>
  <si>
    <t>SILPEN  SILCOO SILCAF</t>
  </si>
  <si>
    <t>10+ @ $3.40 BN</t>
  </si>
  <si>
    <t>CHARD</t>
  </si>
  <si>
    <t>CHAPEN CHACOO</t>
  </si>
  <si>
    <t xml:space="preserve">SWEET POTATO GOLD </t>
  </si>
  <si>
    <t xml:space="preserve">CUDGEN </t>
  </si>
  <si>
    <t xml:space="preserve">PSWXSMA </t>
  </si>
  <si>
    <t>SWEET POTATO GOLD LARGE</t>
  </si>
  <si>
    <t>PSWLMAH</t>
  </si>
  <si>
    <t xml:space="preserve">SWEET POTATO RED </t>
  </si>
  <si>
    <t>TOMATO CHERRY 200G</t>
  </si>
  <si>
    <t xml:space="preserve">1PT </t>
  </si>
  <si>
    <t>TOMCSPR</t>
  </si>
  <si>
    <t xml:space="preserve">TOMATO GOURMET </t>
  </si>
  <si>
    <t>ISIS RIVER</t>
  </si>
  <si>
    <t>TOMBLA</t>
  </si>
  <si>
    <t>9KG</t>
  </si>
  <si>
    <t>SUNUP</t>
  </si>
  <si>
    <t>TOMSUN</t>
  </si>
  <si>
    <t>TOMATO HEIRLOOM</t>
  </si>
  <si>
    <t>TOMHSUN</t>
  </si>
  <si>
    <t>TOMATO ROMA</t>
  </si>
  <si>
    <t>TURMERIC</t>
  </si>
  <si>
    <t>BELLBIRD NICOLSON</t>
  </si>
  <si>
    <t>TUMBEL TUMNIC</t>
  </si>
  <si>
    <t>ZUCCHINI</t>
  </si>
  <si>
    <t>BARLOW ISIS RIVER ORGANIC AG</t>
  </si>
  <si>
    <t>ZUCBLW ZUCBLA ZUCORA</t>
  </si>
  <si>
    <t>FRESH STOCK</t>
  </si>
  <si>
    <t>ZUCCHINI LEBANESE</t>
  </si>
  <si>
    <t>MOORLAND</t>
  </si>
  <si>
    <t>ZUCRPIT</t>
  </si>
  <si>
    <t>FRUIT</t>
  </si>
  <si>
    <t>COMMENTS / SPECIFIC REQUESTS</t>
  </si>
  <si>
    <t>APPLE BRAEBURN (JAZZ) 15KG</t>
  </si>
  <si>
    <t>FOREST ORCHARDS</t>
  </si>
  <si>
    <t>APPBRFRS</t>
  </si>
  <si>
    <t>APPLE FUJI 12KG</t>
  </si>
  <si>
    <t>12KG</t>
  </si>
  <si>
    <t>MCMAHON (POZIERES)</t>
  </si>
  <si>
    <t>APPFXPOZ</t>
  </si>
  <si>
    <t>APPLE GALA 9KG</t>
  </si>
  <si>
    <t>APPG9POZ</t>
  </si>
  <si>
    <t>APPLE GALA 12KG</t>
  </si>
  <si>
    <t>APPGXPOZ</t>
  </si>
  <si>
    <t>APPLE GRANNY SMITH 9KG</t>
  </si>
  <si>
    <t>APPGS9POZ</t>
  </si>
  <si>
    <t>APPLE GRANNY SMITH 12KG</t>
  </si>
  <si>
    <t>APPGSXPOZ</t>
  </si>
  <si>
    <t>APPLE PINK LADY 12KG</t>
  </si>
  <si>
    <t>APPPXPOZ</t>
  </si>
  <si>
    <t>APPLE PINK LADY 9KG</t>
  </si>
  <si>
    <t>APPP9POZ</t>
  </si>
  <si>
    <t>APPLE PINK LADY 15KG</t>
  </si>
  <si>
    <t>APPPFRS</t>
  </si>
  <si>
    <t>GVIP</t>
  </si>
  <si>
    <t>APPP9GVI</t>
  </si>
  <si>
    <t>APPLE RED DEL 12KG</t>
  </si>
  <si>
    <t>APPDXPOZ</t>
  </si>
  <si>
    <t xml:space="preserve">APPLE SOUTHERN BLISS </t>
  </si>
  <si>
    <t>R&amp;RSMITH</t>
  </si>
  <si>
    <t>APPSBXSMT</t>
  </si>
  <si>
    <t>APPLE SOUTHERN BLISS 1KG CARDBOARD PUNNET</t>
  </si>
  <si>
    <t>8X1KG</t>
  </si>
  <si>
    <t>APPSBPPSMT</t>
  </si>
  <si>
    <t>APPLE JUICING RED 9KG</t>
  </si>
  <si>
    <t xml:space="preserve">9KG  </t>
  </si>
  <si>
    <t>APPJU9POZ</t>
  </si>
  <si>
    <t>APPLE JUICING GREEN 9KG</t>
  </si>
  <si>
    <t>APPGSJPOZ</t>
  </si>
  <si>
    <t>APPLE JUICING 15KG</t>
  </si>
  <si>
    <t>APPJUFRS</t>
  </si>
  <si>
    <t xml:space="preserve">AVOCADO HASS TRAY </t>
  </si>
  <si>
    <t>5.5KG</t>
  </si>
  <si>
    <t>AVORAMA</t>
  </si>
  <si>
    <t>AVOAVO</t>
  </si>
  <si>
    <t>AVOCADO HASS TRAY PREMIUM</t>
  </si>
  <si>
    <t xml:space="preserve">AVORAMA </t>
  </si>
  <si>
    <t xml:space="preserve">AVOPAVO </t>
  </si>
  <si>
    <t>SIZE 16-20</t>
  </si>
  <si>
    <t>AVOCADO HASS BULK</t>
  </si>
  <si>
    <t>AVOBAVO</t>
  </si>
  <si>
    <t>L &amp; XL</t>
  </si>
  <si>
    <t>BANANA CAVENDISH</t>
  </si>
  <si>
    <t>13KG</t>
  </si>
  <si>
    <t>JAH POPPI BASTON</t>
  </si>
  <si>
    <t>BANPOP BANJAH BANBAS</t>
  </si>
  <si>
    <t>3+ @ $48 BX</t>
  </si>
  <si>
    <t>BANANA SMOOTHIE</t>
  </si>
  <si>
    <t>POPPI</t>
  </si>
  <si>
    <t>BANSPOP</t>
  </si>
  <si>
    <t>GRAPEFRUIT YELLOW</t>
  </si>
  <si>
    <t>RIVERSDALE</t>
  </si>
  <si>
    <t>GRFRIV</t>
  </si>
  <si>
    <t>GRAPEFRUIT PINK</t>
  </si>
  <si>
    <t>KARRA ORGANIC</t>
  </si>
  <si>
    <t>GRFPKAR</t>
  </si>
  <si>
    <t>GRAPEFRUIT RUBY</t>
  </si>
  <si>
    <t>6-7kg</t>
  </si>
  <si>
    <t>STANNARY</t>
  </si>
  <si>
    <t>GRFRSTA</t>
  </si>
  <si>
    <t>KIWIFRUIT</t>
  </si>
  <si>
    <t>COMBOYNE</t>
  </si>
  <si>
    <t>KIWXCOM</t>
  </si>
  <si>
    <t>KIWIFRUIT IMPERFECT</t>
  </si>
  <si>
    <t xml:space="preserve">COMBOYNE.  </t>
  </si>
  <si>
    <t>KIWLCOM</t>
  </si>
  <si>
    <t>LEMONADES</t>
  </si>
  <si>
    <t>MERRICK CREEK</t>
  </si>
  <si>
    <t>LEMDMER</t>
  </si>
  <si>
    <t>LEMONS</t>
  </si>
  <si>
    <t>LEMXRIV</t>
  </si>
  <si>
    <t>LEMONS IMPERFECT</t>
  </si>
  <si>
    <t>LEM2RIV</t>
  </si>
  <si>
    <t xml:space="preserve">LEMONS JUICING </t>
  </si>
  <si>
    <t xml:space="preserve">RED PLATEAU </t>
  </si>
  <si>
    <t>LEMJRED</t>
  </si>
  <si>
    <t>LIMES</t>
  </si>
  <si>
    <t>LIMSTA</t>
  </si>
  <si>
    <t>LIME 2NDS</t>
  </si>
  <si>
    <t>LIM2STA</t>
  </si>
  <si>
    <t>MANDARINS APHORA/AFOURER</t>
  </si>
  <si>
    <t>MANXRIV</t>
  </si>
  <si>
    <t>NEW VARIETY</t>
  </si>
  <si>
    <t>MANDARINS ELLENDALE</t>
  </si>
  <si>
    <t>SUNZEST</t>
  </si>
  <si>
    <t>MANXSUN</t>
  </si>
  <si>
    <t>MANDARIN IMPERIAL</t>
  </si>
  <si>
    <t>KARRA</t>
  </si>
  <si>
    <t>MANIKAR</t>
  </si>
  <si>
    <t>MANDARIN DAISY</t>
  </si>
  <si>
    <t>MANDKAR</t>
  </si>
  <si>
    <t>ORANGES JUICING</t>
  </si>
  <si>
    <t>ORAJSUN</t>
  </si>
  <si>
    <t>ORANGES JUICING 20KG</t>
  </si>
  <si>
    <t xml:space="preserve">SUNZEST </t>
  </si>
  <si>
    <t>ORAJXSUN</t>
  </si>
  <si>
    <t>ORANGES NAVEL 15KG</t>
  </si>
  <si>
    <t>ORAN15SUN</t>
  </si>
  <si>
    <t>ORANGES NAVEL 3KG NET</t>
  </si>
  <si>
    <t>ORAN3SUN</t>
  </si>
  <si>
    <t>10+ @ $8.75 NT</t>
  </si>
  <si>
    <t>ORANGE NAVELINA</t>
  </si>
  <si>
    <t>ORANXKAR</t>
  </si>
  <si>
    <t>ORANGE BLOOD 15KG</t>
  </si>
  <si>
    <t>ORAB15SUN</t>
  </si>
  <si>
    <t>ORANGE BLOOD JUICING</t>
  </si>
  <si>
    <t>ORABJSUN</t>
  </si>
  <si>
    <t>ORANGE CARA CARA (RED)</t>
  </si>
  <si>
    <t>ORANCKAR</t>
  </si>
  <si>
    <t xml:space="preserve">PAPAYA </t>
  </si>
  <si>
    <t>6-7KG</t>
  </si>
  <si>
    <t>JAH FARMING</t>
  </si>
  <si>
    <t xml:space="preserve">PAWRJAH </t>
  </si>
  <si>
    <t xml:space="preserve">PAWRXJAH </t>
  </si>
  <si>
    <t>LARGE FRUIT</t>
  </si>
  <si>
    <t>PASSIONFRUIT</t>
  </si>
  <si>
    <t xml:space="preserve">LAKELAND </t>
  </si>
  <si>
    <t>PASLAK</t>
  </si>
  <si>
    <t>PEAR BEURRE BOSC 15KG</t>
  </si>
  <si>
    <t>PERBFRS</t>
  </si>
  <si>
    <t>PEAR PACKHAM 15KG</t>
  </si>
  <si>
    <t>PERPGVI</t>
  </si>
  <si>
    <t>PERPFRS</t>
  </si>
  <si>
    <t>PEAR PACKHAM</t>
  </si>
  <si>
    <t>PERPPOZ</t>
  </si>
  <si>
    <t>QUINCE</t>
  </si>
  <si>
    <t>WATTLE GROVE</t>
  </si>
  <si>
    <t>QUIWAT</t>
  </si>
  <si>
    <t>SAPOTE BLACK</t>
  </si>
  <si>
    <t>FURNESS</t>
  </si>
  <si>
    <t>SAPFUN</t>
  </si>
  <si>
    <t>STRAWBERRIES</t>
  </si>
  <si>
    <t>COOCHIN HILLS</t>
  </si>
  <si>
    <t>STRCCH</t>
  </si>
  <si>
    <t>TANGELO</t>
  </si>
  <si>
    <t>TANXKAR</t>
  </si>
  <si>
    <t>WATERMELON MINI SEEDLESS</t>
  </si>
  <si>
    <t>ORGANIC AG</t>
  </si>
  <si>
    <t>MELSORA</t>
  </si>
  <si>
    <t>30KG+ @ $3.80</t>
  </si>
  <si>
    <t>KALES, SALADS &amp; SPINACH</t>
  </si>
  <si>
    <t>KALE GREEN</t>
  </si>
  <si>
    <t>KALSUT</t>
  </si>
  <si>
    <t>10+ @ $3.45 BN</t>
  </si>
  <si>
    <t>KALE BLACK</t>
  </si>
  <si>
    <t xml:space="preserve">ENGLISH SPINACH BUNCH </t>
  </si>
  <si>
    <t>1 BN</t>
  </si>
  <si>
    <t>ENGCOO</t>
  </si>
  <si>
    <t>SALAD LETTUCE MIX 1.5KG</t>
  </si>
  <si>
    <t>LETMSCOO</t>
  </si>
  <si>
    <t>SALAD LETTUCE MIX PUNNET 120G</t>
  </si>
  <si>
    <t>SPINACH BABY PUNNET 120G</t>
  </si>
  <si>
    <t>BASPPCOO</t>
  </si>
  <si>
    <t>SPINACH BULK 1.5KG</t>
  </si>
  <si>
    <t>SPICOO</t>
  </si>
  <si>
    <t>ROCKET PUNNET 120G</t>
  </si>
  <si>
    <t>HROCPCOO</t>
  </si>
  <si>
    <t xml:space="preserve">BACK IN STOCK - LIMITED 15+ @ $3.75 PT </t>
  </si>
  <si>
    <t>SUPERFOOD MIX 1.5KG</t>
  </si>
  <si>
    <t>SUPFCOO</t>
  </si>
  <si>
    <t>SUPERFOOD MIX PUNNET 120G</t>
  </si>
  <si>
    <t>SUPFPCOO</t>
  </si>
  <si>
    <t>HERBS</t>
  </si>
  <si>
    <t>HERBS BAY LEAVES</t>
  </si>
  <si>
    <t>HBAYJAR</t>
  </si>
  <si>
    <t>HERBS CORIANDER</t>
  </si>
  <si>
    <t>COOLIBAH HERBS JARCMAN</t>
  </si>
  <si>
    <t>HCORCOO HCORJAR</t>
  </si>
  <si>
    <r>
      <rPr>
        <sz val="7"/>
        <color rgb="FF000000"/>
        <rFont val="Daytona"/>
        <family val="2"/>
      </rPr>
      <t xml:space="preserve">HERBS CORIANDER </t>
    </r>
    <r>
      <rPr>
        <b/>
        <sz val="7"/>
        <color rgb="FF000000"/>
        <rFont val="Daytona"/>
        <family val="2"/>
      </rPr>
      <t>SLEEVE</t>
    </r>
  </si>
  <si>
    <t>1SLV</t>
  </si>
  <si>
    <t xml:space="preserve">COOLIBAH HERBS </t>
  </si>
  <si>
    <t xml:space="preserve">HCORSCOO </t>
  </si>
  <si>
    <t>SLEEVE</t>
  </si>
  <si>
    <r>
      <t xml:space="preserve">HERBS CORIANDER </t>
    </r>
    <r>
      <rPr>
        <b/>
        <sz val="7"/>
        <color theme="1"/>
        <rFont val="Daytona"/>
        <family val="2"/>
      </rPr>
      <t>PUNNET</t>
    </r>
  </si>
  <si>
    <t xml:space="preserve">HCORPCOO </t>
  </si>
  <si>
    <t xml:space="preserve">PUNNET </t>
  </si>
  <si>
    <t>HERBS KAFFIR LIME LEAVES</t>
  </si>
  <si>
    <t>1BG</t>
  </si>
  <si>
    <t xml:space="preserve">JARCMAN.  </t>
  </si>
  <si>
    <t>HLIMJAR</t>
  </si>
  <si>
    <t>HERBS MINT</t>
  </si>
  <si>
    <t>HMINCOO</t>
  </si>
  <si>
    <r>
      <rPr>
        <sz val="7"/>
        <color rgb="FF000000"/>
        <rFont val="Daytona"/>
        <family val="2"/>
      </rPr>
      <t xml:space="preserve">HERBS MINT </t>
    </r>
    <r>
      <rPr>
        <b/>
        <sz val="7"/>
        <color rgb="FF000000"/>
        <rFont val="Daytona"/>
        <family val="2"/>
      </rPr>
      <t>SLEEVE</t>
    </r>
  </si>
  <si>
    <t>HMINSCOO</t>
  </si>
  <si>
    <r>
      <t xml:space="preserve">HERBS MINT </t>
    </r>
    <r>
      <rPr>
        <b/>
        <sz val="7"/>
        <color theme="1"/>
        <rFont val="Daytona"/>
        <family val="2"/>
      </rPr>
      <t>PUNNET</t>
    </r>
  </si>
  <si>
    <t>HMINPCOO</t>
  </si>
  <si>
    <t>HERBS PARSLEY CURLY</t>
  </si>
  <si>
    <t>JARCMAN LUNAR</t>
  </si>
  <si>
    <t>HPARJAR HPARLUN</t>
  </si>
  <si>
    <t>HERBS PARSLEY FLAT</t>
  </si>
  <si>
    <t>COOLIBAH HERBS JARCMAN LUNAR</t>
  </si>
  <si>
    <t>HPARFCOO HPARFJAR HPARFLUN</t>
  </si>
  <si>
    <r>
      <rPr>
        <sz val="7"/>
        <color rgb="FF000000"/>
        <rFont val="Daytona"/>
        <family val="2"/>
      </rPr>
      <t xml:space="preserve">HERBS PARSLEY FLAT </t>
    </r>
    <r>
      <rPr>
        <b/>
        <sz val="7"/>
        <color rgb="FF000000"/>
        <rFont val="Daytona"/>
        <family val="2"/>
      </rPr>
      <t>SLEEVE</t>
    </r>
  </si>
  <si>
    <t xml:space="preserve">HPARFSCOO </t>
  </si>
  <si>
    <r>
      <t xml:space="preserve">HERBS PARSLEY FLAT </t>
    </r>
    <r>
      <rPr>
        <b/>
        <sz val="7"/>
        <color theme="1"/>
        <rFont val="Daytona"/>
        <family val="2"/>
      </rPr>
      <t>PUNNET</t>
    </r>
  </si>
  <si>
    <t xml:space="preserve">HPARFPCOO </t>
  </si>
  <si>
    <t>HERBS ROSEMARY</t>
  </si>
  <si>
    <t>HROSCOO</t>
  </si>
  <si>
    <r>
      <rPr>
        <sz val="7"/>
        <color rgb="FF000000"/>
        <rFont val="Daytona"/>
        <family val="2"/>
      </rPr>
      <t xml:space="preserve">HERBS ROSEMARY </t>
    </r>
    <r>
      <rPr>
        <b/>
        <sz val="7"/>
        <color rgb="FF000000"/>
        <rFont val="Daytona"/>
        <family val="2"/>
      </rPr>
      <t>SLEEVE</t>
    </r>
  </si>
  <si>
    <t>HROSSCOO</t>
  </si>
  <si>
    <r>
      <t xml:space="preserve">HERBS ROSEMARY </t>
    </r>
    <r>
      <rPr>
        <b/>
        <sz val="7"/>
        <color theme="1"/>
        <rFont val="Daytona"/>
        <family val="2"/>
      </rPr>
      <t>PUNNET</t>
    </r>
  </si>
  <si>
    <t>HROSPCOO</t>
  </si>
  <si>
    <t>HERBS THYME</t>
  </si>
  <si>
    <t>HTHYCOO</t>
  </si>
  <si>
    <r>
      <rPr>
        <sz val="7"/>
        <color rgb="FF000000"/>
        <rFont val="Daytona"/>
        <family val="2"/>
      </rPr>
      <t xml:space="preserve">HERBS THYME </t>
    </r>
    <r>
      <rPr>
        <b/>
        <sz val="7"/>
        <color rgb="FF000000"/>
        <rFont val="Daytona"/>
        <family val="2"/>
      </rPr>
      <t>SLEEVE</t>
    </r>
  </si>
  <si>
    <t>HTHYSCOO</t>
  </si>
  <si>
    <r>
      <t xml:space="preserve">HERBS THYME </t>
    </r>
    <r>
      <rPr>
        <b/>
        <sz val="7"/>
        <color theme="1"/>
        <rFont val="Daytona"/>
        <family val="2"/>
      </rPr>
      <t>PUNNET</t>
    </r>
  </si>
  <si>
    <t>HTHYPCOO</t>
  </si>
  <si>
    <t>SPROUTS</t>
  </si>
  <si>
    <t>SPROUTS BROCCOLI 50G</t>
  </si>
  <si>
    <t>ENERGETIC GREENS</t>
  </si>
  <si>
    <t>SPRBRENE</t>
  </si>
  <si>
    <t>Landing Wednesday</t>
  </si>
  <si>
    <t>SPROUTS RADISH 50G</t>
  </si>
  <si>
    <t>SPRRENE</t>
  </si>
  <si>
    <t>SPROUTS SALAD 50G</t>
  </si>
  <si>
    <t>SPRSENE</t>
  </si>
  <si>
    <t>SPROUTS SNOW PEA 100G</t>
  </si>
  <si>
    <t>SPRSN100ENE</t>
  </si>
  <si>
    <t>SPROUTS SUNFLOWER 100G</t>
  </si>
  <si>
    <t>SPRSF100ENE</t>
  </si>
  <si>
    <t>SPROUTS WHEATGRASS 100G</t>
  </si>
  <si>
    <t>SPRWG100ENE</t>
  </si>
  <si>
    <t>SPROUTS BROCCOLI 65G</t>
  </si>
  <si>
    <t>WOODFORD MICROGREENS</t>
  </si>
  <si>
    <t>SPRBRWOO</t>
  </si>
  <si>
    <t>AVAILABLE NOW</t>
  </si>
  <si>
    <t>SPROUTS DAIKON RADISH 65G</t>
  </si>
  <si>
    <t>SPRDRWOO</t>
  </si>
  <si>
    <t>SPROUTS GREEN MUSTARD 65G</t>
  </si>
  <si>
    <t>SPRGMWOO</t>
  </si>
  <si>
    <t>SPROUTS PEA SHOOTS (TENDRILS) 65G</t>
  </si>
  <si>
    <t>SPRPSWOO</t>
  </si>
  <si>
    <t>SPROUTS PEA SHOOTS (TENDRILS) 100G</t>
  </si>
  <si>
    <t>SPRPS100WOO</t>
  </si>
  <si>
    <t>SPROUTS PURPLE RADISH 65G</t>
  </si>
  <si>
    <t>SPRPRWOO</t>
  </si>
  <si>
    <t>SPROUTS RED CABBAGE 65G</t>
  </si>
  <si>
    <t>SPRRCWOO</t>
  </si>
  <si>
    <t>SPROUTS SPICY MIX 65G</t>
  </si>
  <si>
    <t>SPRSMWOO</t>
  </si>
  <si>
    <t>SPROUTS SUNFLOWER SHOOTS 65G</t>
  </si>
  <si>
    <t>SPRSFWOO</t>
  </si>
  <si>
    <t>SPROUTS SUNFLOWER SHOOTS 100G</t>
  </si>
  <si>
    <t>SPRSF100WOO</t>
  </si>
  <si>
    <r>
      <rPr>
        <b/>
        <sz val="14"/>
        <color rgb="FF000000"/>
        <rFont val="Daytona"/>
        <family val="2"/>
      </rPr>
      <t>COMPOST-A-PAK BAGS</t>
    </r>
    <r>
      <rPr>
        <b/>
        <sz val="10"/>
        <color rgb="FF000000"/>
        <rFont val="Daytona"/>
        <family val="2"/>
      </rPr>
      <t xml:space="preserve"> (**PRICES ARE GST EXCLUSIVE)</t>
    </r>
  </si>
  <si>
    <t xml:space="preserve">BAGS FRUIT &amp; VEG ROLL** </t>
  </si>
  <si>
    <t>6X 400BG</t>
  </si>
  <si>
    <t>COMPOST-A-PAK</t>
  </si>
  <si>
    <t>09000314</t>
  </si>
  <si>
    <t>DATES &amp; EGGS</t>
  </si>
  <si>
    <t xml:space="preserve">RIFT VALLEY </t>
  </si>
  <si>
    <t>07226600</t>
  </si>
  <si>
    <t>MEDJOOL DATES 8X1KG</t>
  </si>
  <si>
    <t>07226534</t>
  </si>
  <si>
    <t>DATES MEDJOOL 12X150G</t>
  </si>
  <si>
    <t>BX12</t>
  </si>
  <si>
    <t>150G</t>
  </si>
  <si>
    <t>ECO-FARMS ORGANIC</t>
  </si>
  <si>
    <t>ORG EGGS 600G</t>
  </si>
  <si>
    <t>15DOZ</t>
  </si>
  <si>
    <t>MEGGLES FARMS</t>
  </si>
  <si>
    <t>EGE600</t>
  </si>
  <si>
    <t>GROCERY LINES</t>
  </si>
  <si>
    <t>CHILLED PRODUCTS</t>
  </si>
  <si>
    <t/>
  </si>
  <si>
    <t>TEMPEH BURGER 200G</t>
  </si>
  <si>
    <t>200G</t>
  </si>
  <si>
    <t>NUTRISOY</t>
  </si>
  <si>
    <t>01512535</t>
  </si>
  <si>
    <t>TOFU SPICY CUTLETS 200G</t>
  </si>
  <si>
    <t>01512505</t>
  </si>
  <si>
    <t>TOFU TERIYAKI CUTLETS 200G</t>
  </si>
  <si>
    <t>01512510</t>
  </si>
  <si>
    <t>TOFU PLAIN 350G</t>
  </si>
  <si>
    <t>350G</t>
  </si>
  <si>
    <t>01912510</t>
  </si>
  <si>
    <t>TEMPEH PLAIN 300G</t>
  </si>
  <si>
    <t>300G</t>
  </si>
  <si>
    <t>01512519</t>
  </si>
  <si>
    <t>SUGAR, SYRUP &amp; HONEY</t>
  </si>
  <si>
    <t>SYRUP MAPLE 1L</t>
  </si>
  <si>
    <t>BX6</t>
  </si>
  <si>
    <t>01200505</t>
  </si>
  <si>
    <t>SYRUP MAPLE 189ML</t>
  </si>
  <si>
    <t>189ML</t>
  </si>
  <si>
    <t>01200530</t>
  </si>
  <si>
    <t>RAW HONEY 1KG</t>
  </si>
  <si>
    <t xml:space="preserve">BX </t>
  </si>
  <si>
    <t>6 X 1KG</t>
  </si>
  <si>
    <t>RICE MALT SYRUP 500ML</t>
  </si>
  <si>
    <t>500ML</t>
  </si>
  <si>
    <t>BLISSFUL ORGANIC</t>
  </si>
  <si>
    <t>01200613</t>
  </si>
  <si>
    <t>COCONUT NECTAR 500ML</t>
  </si>
  <si>
    <t>01200645</t>
  </si>
  <si>
    <t>COCONUT SUGAR 300G</t>
  </si>
  <si>
    <t>BX10</t>
  </si>
  <si>
    <t>01200620</t>
  </si>
  <si>
    <t>SNACKS &amp; CONFECTIONARY (**PRICES EXCLUDE GST)</t>
  </si>
  <si>
    <t>POTATO CHIPS PURPLE 90G** (Not Organic)</t>
  </si>
  <si>
    <t>12X90G</t>
  </si>
  <si>
    <t>DK'S</t>
  </si>
  <si>
    <t>Not Certified Organic</t>
  </si>
  <si>
    <t>MULTIBUY AVAILABLE</t>
  </si>
  <si>
    <t>POTATO CHIPS CLASSIC 90G** (Not Organic)</t>
  </si>
  <si>
    <t>POTATO CHIPS PINK 90G** (Not Organic)</t>
  </si>
  <si>
    <t>POTATO CHIPS PINK PEPPERBERRY 90G** (Not Organic)</t>
  </si>
  <si>
    <t>POTATO CHIPS PINK 150G** (Not Organic)</t>
  </si>
  <si>
    <t>12X150G</t>
  </si>
  <si>
    <t>05500225</t>
  </si>
  <si>
    <t>CORN CHIPS 500G**</t>
  </si>
  <si>
    <t>500G</t>
  </si>
  <si>
    <t>SONORA</t>
  </si>
  <si>
    <t>01200602</t>
  </si>
  <si>
    <t>POPPING CORN</t>
  </si>
  <si>
    <t>01200544</t>
  </si>
  <si>
    <t>BROWN RICE CRACKER 100G**</t>
  </si>
  <si>
    <t>100g</t>
  </si>
  <si>
    <t>KURA ORGANIC</t>
  </si>
  <si>
    <t>01200106</t>
  </si>
  <si>
    <t>ORIGINAL RICE CRACKER 100G**</t>
  </si>
  <si>
    <t>01200107</t>
  </si>
  <si>
    <t>DARK CHOCOLATE BUTTON BITES**</t>
  </si>
  <si>
    <t>10 X 300G</t>
  </si>
  <si>
    <t>LOVIN' BODY</t>
  </si>
  <si>
    <t>01200750</t>
  </si>
  <si>
    <t>CACAO</t>
  </si>
  <si>
    <t>RAW ORGANIC CACAO POWDER 300G</t>
  </si>
  <si>
    <t>01200545</t>
  </si>
  <si>
    <t xml:space="preserve">ORG DRINKING HOT CHOCOLATE </t>
  </si>
  <si>
    <t>6 X 300G</t>
  </si>
  <si>
    <t>01200751</t>
  </si>
  <si>
    <t xml:space="preserve">ORG HOT CHOCOLATE SUPERFOOD </t>
  </si>
  <si>
    <t>01200752</t>
  </si>
  <si>
    <t>RICE, QUINOA &amp; PASTA</t>
  </si>
  <si>
    <t>RICE JASMINE 1KG</t>
  </si>
  <si>
    <t>01200507</t>
  </si>
  <si>
    <t>RICE BASMATI BROWN 1KG</t>
  </si>
  <si>
    <t>01200509</t>
  </si>
  <si>
    <t>RICE BASMATI 1KG</t>
  </si>
  <si>
    <t>01200508</t>
  </si>
  <si>
    <t>RICE BASMATI PERSIAN 200G</t>
  </si>
  <si>
    <t>BX15</t>
  </si>
  <si>
    <t>01200541</t>
  </si>
  <si>
    <t>JARRED VEGETABLES &amp; PICKLES</t>
  </si>
  <si>
    <t>CORN SWEET 350G</t>
  </si>
  <si>
    <t>01200535</t>
  </si>
  <si>
    <t>BEETROOT SLICES 340G</t>
  </si>
  <si>
    <t>340G</t>
  </si>
  <si>
    <t>01200536</t>
  </si>
  <si>
    <t>GARDEN PEAS 350G</t>
  </si>
  <si>
    <t>01200547</t>
  </si>
  <si>
    <t>GHERKINS SWEET &amp; SOUR 680G</t>
  </si>
  <si>
    <t>680G</t>
  </si>
  <si>
    <t>01200548</t>
  </si>
  <si>
    <t>SAUERKRAUT 360G</t>
  </si>
  <si>
    <t>360G</t>
  </si>
  <si>
    <t>01200549</t>
  </si>
  <si>
    <t>SAUERKRAUT W BEETROOT 360G</t>
  </si>
  <si>
    <t>01200550</t>
  </si>
  <si>
    <t>SAUERKRAUT W GINGER &amp; TURMERIC 360G</t>
  </si>
  <si>
    <t>01200551</t>
  </si>
  <si>
    <t>CRUSHED GARLIC 220G</t>
  </si>
  <si>
    <t>220G</t>
  </si>
  <si>
    <t>JENSENS ORGANIC</t>
  </si>
  <si>
    <t>01200606</t>
  </si>
  <si>
    <t>CRUSHED GINGER 220G</t>
  </si>
  <si>
    <t>01200605</t>
  </si>
  <si>
    <t>SAMBAL TOMAT 300G</t>
  </si>
  <si>
    <t>BX8</t>
  </si>
  <si>
    <t>300g</t>
  </si>
  <si>
    <t xml:space="preserve">LOVE ORGANICS </t>
  </si>
  <si>
    <t>01200855</t>
  </si>
  <si>
    <t>OUT OF STOCK FROM SUPPLIER</t>
  </si>
  <si>
    <t>KRAUT ACHARA 440G</t>
  </si>
  <si>
    <t>440g</t>
  </si>
  <si>
    <t>01200850</t>
  </si>
  <si>
    <t>KRAUT RUBY 440G</t>
  </si>
  <si>
    <t>01200853</t>
  </si>
  <si>
    <t>KRAUT KIMCHI 440G</t>
  </si>
  <si>
    <t>01200852</t>
  </si>
  <si>
    <t>KRAUT FENNEL 440G</t>
  </si>
  <si>
    <t>01200851</t>
  </si>
  <si>
    <t>KRAUT SEA.CHI 440G</t>
  </si>
  <si>
    <t>01200854</t>
  </si>
  <si>
    <t>KRAUT EMBAH 440G</t>
  </si>
  <si>
    <t>01200856</t>
  </si>
  <si>
    <t>TINNED TOMATOES &amp; BEANS</t>
  </si>
  <si>
    <t>4 BEAN MIX 400G</t>
  </si>
  <si>
    <t>400G</t>
  </si>
  <si>
    <t>01200511</t>
  </si>
  <si>
    <t>BLACK BEANS 400G</t>
  </si>
  <si>
    <t>01200512</t>
  </si>
  <si>
    <t>LENTILS BROWN 400G</t>
  </si>
  <si>
    <t>01200518</t>
  </si>
  <si>
    <t>RED KIDNEY BEANS 400G</t>
  </si>
  <si>
    <t>01200515</t>
  </si>
  <si>
    <t>CHICKPEAS IN WATER 400G</t>
  </si>
  <si>
    <t>01200514</t>
  </si>
  <si>
    <t>BEAN CANNELLINI WHITE 400G</t>
  </si>
  <si>
    <t>01200516</t>
  </si>
  <si>
    <t>BEANS BUTTER IN WATER 400G</t>
  </si>
  <si>
    <t>01200513</t>
  </si>
  <si>
    <t>BEAN BAKED IN TOM SAUCE 400G</t>
  </si>
  <si>
    <t>01200517</t>
  </si>
  <si>
    <t>TOMATO WHOLE PEELED 400G</t>
  </si>
  <si>
    <t>01200500</t>
  </si>
  <si>
    <t>TOMATO DICED 400G</t>
  </si>
  <si>
    <t>01200501</t>
  </si>
  <si>
    <t>SAUCES, SALSA &amp; VINEGAR</t>
  </si>
  <si>
    <t>SAUCE PASSATA W/BASIL 680G</t>
  </si>
  <si>
    <t>01200527</t>
  </si>
  <si>
    <t>SAUCE PASSATA RUSTICA 680G</t>
  </si>
  <si>
    <t>01200502</t>
  </si>
  <si>
    <t>SAUCE PASSATA COOKING 680G</t>
  </si>
  <si>
    <t>01200526</t>
  </si>
  <si>
    <t>VINEGAR APPLE CIDER 500ML</t>
  </si>
  <si>
    <t>01200528</t>
  </si>
  <si>
    <t>MILD SALSA 320G</t>
  </si>
  <si>
    <t>320G</t>
  </si>
  <si>
    <t>01200604</t>
  </si>
  <si>
    <t>MEDIUM SALSA 320G</t>
  </si>
  <si>
    <t>01200603</t>
  </si>
  <si>
    <t>COCONUT MILK LEMONGRASS &amp; GINGER CURRY 400G</t>
  </si>
  <si>
    <t>01200648</t>
  </si>
  <si>
    <t>COCONUT MILK YELLOW CURRY 400G</t>
  </si>
  <si>
    <t>01200649</t>
  </si>
  <si>
    <t>COCONUT MILK GREEN CURRY 400G</t>
  </si>
  <si>
    <t>01200650</t>
  </si>
  <si>
    <t>COCONUT MILK RED CURRY 400G</t>
  </si>
  <si>
    <t>01200651</t>
  </si>
  <si>
    <t>SWEET CHILLI SAUCE 435ML</t>
  </si>
  <si>
    <t>435ML</t>
  </si>
  <si>
    <t>01200100</t>
  </si>
  <si>
    <t>TAMARI SOY SAUCE 250ML</t>
  </si>
  <si>
    <t>250ML</t>
  </si>
  <si>
    <t>01200104</t>
  </si>
  <si>
    <t>WHITE RICE VINEGAR 250ML</t>
  </si>
  <si>
    <t>01200103</t>
  </si>
  <si>
    <t>INTERNATIONAL FOODS</t>
  </si>
  <si>
    <t>SUSHI NORI 28G</t>
  </si>
  <si>
    <t>28G</t>
  </si>
  <si>
    <t>01200102</t>
  </si>
  <si>
    <t>MISO PASTE SHIRO 200G</t>
  </si>
  <si>
    <t>01200105</t>
  </si>
  <si>
    <t>COCONUT PRODUCTS</t>
  </si>
  <si>
    <t>COCONUT CREAM 400ML</t>
  </si>
  <si>
    <t>400ML</t>
  </si>
  <si>
    <t>01200519</t>
  </si>
  <si>
    <t>COCONUT MILK 400ML</t>
  </si>
  <si>
    <t>01200520</t>
  </si>
  <si>
    <t>01200652</t>
  </si>
  <si>
    <t>01200653</t>
  </si>
  <si>
    <t>COCONUT MILK - LIGHT 400ML</t>
  </si>
  <si>
    <t>01200654</t>
  </si>
  <si>
    <t>CONDENSED COCONUT MILK 200ML</t>
  </si>
  <si>
    <t>200ML</t>
  </si>
  <si>
    <t>01200655</t>
  </si>
  <si>
    <t>COCONUT FLOUR 500G</t>
  </si>
  <si>
    <t>01200546</t>
  </si>
  <si>
    <t>WATER &amp; JUICE</t>
  </si>
  <si>
    <t>COCONUT WATER - ACAI</t>
  </si>
  <si>
    <t>12X355ML</t>
  </si>
  <si>
    <t>COCO SOUL</t>
  </si>
  <si>
    <t>01202100</t>
  </si>
  <si>
    <t>CHOCOLATE WATER COCONUT 1L</t>
  </si>
  <si>
    <t>04181573</t>
  </si>
  <si>
    <t>WATER COCONUT 1L</t>
  </si>
  <si>
    <t>04181571</t>
  </si>
  <si>
    <t>WATER COCONUT 330ML</t>
  </si>
  <si>
    <t>24 X 330ML</t>
  </si>
  <si>
    <t>04181572</t>
  </si>
  <si>
    <t>JUICE POMEGRANATE 750ML</t>
  </si>
  <si>
    <t>JUICE APPLE (BOTTLE) 1L</t>
  </si>
  <si>
    <t>BX24</t>
  </si>
  <si>
    <t>JUICE LIME SQUEEZE 125ML</t>
  </si>
  <si>
    <t>125ML</t>
  </si>
  <si>
    <t>01200543</t>
  </si>
  <si>
    <t>JUICE LEMON SQUEEZE 125ML</t>
  </si>
  <si>
    <t>01200542</t>
  </si>
  <si>
    <t>HYDROGEN WATER 250ML</t>
  </si>
  <si>
    <t>HYRDOGEN WATER CO</t>
  </si>
  <si>
    <t>01200910</t>
  </si>
  <si>
    <t>ORIGINAL SPARKLING PROBIOTIC LIVE KEFIR 330ML (Not Certified Organic)</t>
  </si>
  <si>
    <t>YOGI NECTAR PROBIOTIC</t>
  </si>
  <si>
    <t>01202002</t>
  </si>
  <si>
    <t>LIME SPARKLING PROBIOTIC LIVE KEFIR 330ML (Not Certified Organic)</t>
  </si>
  <si>
    <t>01202003</t>
  </si>
  <si>
    <t>LANDING WEDNESDAY</t>
  </si>
  <si>
    <t>CITRUS SPARKLING PROBIOTIC LIVE KEFIR 330ML (Not Certified Organic)</t>
  </si>
  <si>
    <t>01202004</t>
  </si>
  <si>
    <t>ORIGINAL SPARKLING PROBIOTIC LIVE KEFIR 750ML (Not Certified Organic)</t>
  </si>
  <si>
    <t>01202005</t>
  </si>
  <si>
    <t>LIME SPARKLING PROBIOTIC LIVE KEFIR 750ML (Not Certified Organic)</t>
  </si>
  <si>
    <t>01202006</t>
  </si>
  <si>
    <t>CITRUS SPARKLING PROBIOTIC LIVE KEFIR 750ML (Not Certified Organic)</t>
  </si>
  <si>
    <t>01202007</t>
  </si>
  <si>
    <t>SEASONINGS</t>
  </si>
  <si>
    <t>SALT CELTIC SEA 500G (Not Organic)</t>
  </si>
  <si>
    <t>01200525</t>
  </si>
  <si>
    <t>OIL</t>
  </si>
  <si>
    <t xml:space="preserve">OIL COCONUT EX VIRGIN </t>
  </si>
  <si>
    <t>915ML</t>
  </si>
  <si>
    <t>01200552</t>
  </si>
  <si>
    <t xml:space="preserve">OIL COCONUT PURIFIED </t>
  </si>
  <si>
    <t>01200521</t>
  </si>
  <si>
    <t>OIL E/VIRGIN THREE OLIVES 1L</t>
  </si>
  <si>
    <t>01200522</t>
  </si>
  <si>
    <t>OIL E/VIRGIN THREE OLIVES 3L</t>
  </si>
  <si>
    <t>BX4</t>
  </si>
  <si>
    <t>3L</t>
  </si>
  <si>
    <t>01200531</t>
  </si>
  <si>
    <t>EXTRAS &amp; WISHLIST</t>
  </si>
  <si>
    <t>ITEM TOTAL</t>
  </si>
  <si>
    <t>LINES TOTAL</t>
  </si>
  <si>
    <t>FOR ANY PREPACK PRODUCE LINES - PLEASE USE OUR PREPACK PRODUCE AVAILABILTY LIST</t>
  </si>
  <si>
    <t>DISCLAIMERS:</t>
  </si>
  <si>
    <t>1.ANYCLAIMSTOBEMADEWITHIN24HOURSTOCREDITS.BRISBANE@ECOFARMS.COM.AU</t>
  </si>
  <si>
    <t>3. SELECTED SPLIT BOXES AVAILABLE, A 20% HANDLING FEE WILL BE APPLIED</t>
  </si>
  <si>
    <t>2.PLEASENOTETHATWEIGHTSAREAGUIDELINEONLY</t>
  </si>
  <si>
    <t>4. PRICES ARE SUBJECT TO CHANGE DUE TO MARKET FLUCTUATION WITHOUT NOTICE</t>
  </si>
  <si>
    <t>5.WHENSTOCKISSHORTWESHAREITASBESTWECAN.STOCKLISTEDASLIMITED,MEANSTHEREISONLYASMALLAMOUNTAVAILABLESOUSUALLY1BOXOR6EAPERCUSTOEMR.IFITISEXTEMEMLYLIMITEDTHENTHISMEANSTHEREMAYNOTEVENBEENOUGHFOR1PERCUSTOMERANDWEWILLSHAREASBESTWECAN.PLEASENOTE:ONLY1BOXOR6EAWILLBEINCLUDEDINTHEORDERVALUEFORCALCULATINGFREIGHTCHARGES.</t>
  </si>
  <si>
    <t>Order Quantity</t>
  </si>
  <si>
    <t>LINK</t>
  </si>
  <si>
    <t>PACK</t>
  </si>
  <si>
    <t>CERT</t>
  </si>
  <si>
    <t xml:space="preserve"> PRICE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</si>
  <si>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</si>
  <si>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</si>
  <si>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</si>
  <si>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</si>
  <si>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</si>
  <si>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</si>
  <si>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</si>
  <si>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</si>
  <si>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</si>
  <si>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</si>
  <si>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</si>
  <si>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</si>
  <si>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</si>
  <si>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</si>
  <si>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</si>
  <si>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</si>
  <si>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</si>
  <si>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</si>
  <si>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</si>
  <si>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</si>
  <si>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</si>
  <si>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</si>
  <si>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</si>
  <si>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</si>
  <si>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</si>
  <si>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</si>
  <si>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</si>
  <si>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</si>
  <si>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</si>
  <si>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</si>
  <si>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</si>
  <si>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</si>
  <si>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</si>
  <si>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</si>
  <si>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</si>
  <si>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</si>
  <si>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</si>
  <si>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</si>
  <si>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</si>
  <si>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</si>
  <si>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</si>
  <si>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</si>
  <si>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</si>
  <si>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</si>
  <si>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</si>
  <si>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</si>
  <si>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</si>
  <si>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</si>
  <si>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</si>
  <si>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</si>
  <si>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</si>
  <si>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</si>
  <si>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</si>
  <si>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</si>
  <si>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</si>
  <si>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</si>
  <si>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</si>
  <si>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</si>
  <si>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</si>
  <si>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</si>
  <si>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</si>
  <si>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</si>
  <si>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</si>
  <si>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</si>
  <si>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</si>
  <si>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</si>
  <si>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</si>
  <si>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</si>
  <si>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</si>
  <si>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</si>
  <si>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</si>
  <si>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</si>
  <si>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</si>
  <si>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</si>
  <si>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</si>
  <si>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</si>
  <si>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</si>
  <si>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</si>
  <si>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</si>
  <si>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</si>
  <si>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</si>
  <si>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</si>
  <si>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</si>
  <si>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</si>
  <si>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</si>
  <si>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</si>
  <si>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</si>
  <si>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</si>
  <si>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</si>
  <si>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</si>
  <si>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</si>
  <si>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</si>
  <si>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</si>
  <si>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</si>
  <si>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</si>
  <si>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</si>
  <si>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</si>
  <si>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</si>
  <si>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</si>
  <si>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</si>
  <si>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</si>
  <si>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</si>
  <si>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</si>
  <si>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</si>
  <si>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</si>
  <si>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</si>
  <si>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</si>
  <si>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</si>
  <si>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</si>
  <si>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</si>
  <si>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</si>
  <si>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</si>
  <si>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</si>
  <si>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</si>
  <si>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</si>
  <si>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</si>
  <si>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</si>
  <si>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</si>
  <si>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</si>
  <si>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</si>
  <si>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</si>
  <si>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</si>
  <si>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</si>
  <si>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</si>
  <si>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</si>
  <si>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</si>
  <si>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</si>
  <si>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</si>
  <si>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</si>
  <si>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</si>
  <si>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</si>
  <si>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</si>
  <si>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</si>
  <si>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</si>
  <si>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</si>
  <si>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</si>
  <si>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</si>
  <si>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</si>
  <si>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</si>
  <si>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</si>
  <si>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</si>
  <si>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</si>
  <si>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</si>
  <si>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</si>
  <si>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</si>
  <si>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</si>
  <si>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</si>
  <si>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</si>
  <si>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</si>
  <si>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</si>
  <si>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</si>
  <si>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</si>
  <si>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</si>
  <si>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</si>
  <si>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</si>
  <si>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</si>
  <si>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</si>
  <si>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</si>
  <si>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</si>
  <si>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</si>
  <si>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</si>
  <si>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</si>
  <si>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</si>
  <si>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</si>
  <si>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</si>
  <si>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</si>
  <si>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</si>
  <si>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</si>
  <si>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</si>
  <si>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</si>
  <si>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</si>
  <si>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</si>
  <si>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</si>
  <si>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</si>
  <si>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</si>
  <si>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</si>
  <si>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</si>
  <si>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</si>
  <si>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</si>
  <si>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</si>
  <si>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</si>
  <si>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</si>
  <si>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</si>
  <si>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</si>
  <si>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</si>
  <si>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</si>
  <si>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</si>
  <si>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</si>
  <si>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</si>
  <si>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</si>
  <si>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</si>
  <si>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</si>
  <si>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</si>
  <si>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</si>
  <si>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</si>
  <si>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</si>
  <si>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</si>
  <si>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</si>
  <si>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</si>
  <si>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</si>
  <si>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</si>
  <si>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</si>
  <si>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</si>
  <si>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</si>
  <si>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</si>
  <si>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</si>
  <si>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</si>
  <si>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</si>
  <si>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</si>
  <si>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</si>
  <si>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</si>
  <si>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</si>
  <si>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</si>
  <si>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</si>
  <si>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</si>
  <si>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</si>
  <si>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</si>
  <si>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</si>
  <si>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</si>
  <si>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</si>
  <si>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</si>
  <si>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</si>
  <si>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</si>
  <si>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</si>
  <si>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</si>
  <si>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</si>
  <si>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</si>
  <si>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</si>
  <si>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</si>
  <si>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</si>
  <si>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</si>
  <si>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</si>
  <si>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</si>
  <si>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</si>
  <si>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</si>
  <si>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</si>
  <si>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</si>
  <si>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</si>
  <si>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</si>
  <si>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</si>
  <si>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</si>
  <si>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</si>
  <si>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</si>
  <si>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</si>
  <si>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</si>
  <si>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</si>
  <si>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</si>
  <si>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</si>
  <si>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</si>
  <si>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</si>
  <si>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</si>
  <si>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</si>
  <si>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</si>
  <si>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</si>
  <si>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</si>
  <si>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</si>
  <si>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</si>
  <si>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</si>
  <si>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</si>
  <si>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</si>
  <si>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</si>
  <si>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</si>
  <si>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</si>
  <si>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</si>
  <si>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</si>
  <si>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</si>
  <si>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</si>
  <si>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</si>
  <si>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</si>
  <si>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</si>
  <si>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</si>
  <si>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</si>
  <si>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</si>
  <si>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</si>
  <si>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</si>
  <si>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</si>
  <si>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</si>
  <si>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</si>
  <si>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</si>
  <si>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</si>
  <si>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</si>
  <si>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</si>
  <si>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</si>
  <si>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</si>
  <si>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</si>
  <si>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</si>
  <si>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</si>
  <si>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</si>
  <si>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</si>
  <si>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</si>
  <si>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</si>
  <si>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</si>
  <si>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</si>
  <si>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</si>
  <si>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</si>
  <si>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</si>
  <si>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</si>
  <si>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</si>
  <si>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</si>
  <si>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</si>
  <si>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</si>
  <si>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</si>
  <si>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</si>
  <si>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</si>
  <si>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</si>
  <si>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</si>
  <si>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</si>
  <si>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</si>
  <si>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</si>
  <si>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</si>
  <si>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</si>
  <si>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</si>
  <si>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</si>
  <si>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</si>
  <si>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</si>
  <si>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</si>
  <si>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</si>
  <si>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</si>
  <si>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</si>
  <si>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</si>
  <si>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</si>
  <si>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</si>
  <si>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</si>
  <si>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</si>
  <si>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</si>
  <si>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</si>
  <si>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</si>
  <si>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</si>
  <si>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</si>
  <si>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</si>
  <si>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</si>
  <si>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</si>
  <si>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</si>
  <si>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</si>
  <si>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</si>
  <si>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</si>
  <si>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</si>
  <si>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</si>
  <si>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</si>
  <si>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</si>
  <si>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</si>
  <si>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</si>
  <si>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</si>
  <si>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</si>
  <si>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</si>
  <si>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</si>
  <si>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</si>
  <si>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</si>
  <si>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</si>
  <si>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</si>
  <si>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</si>
  <si>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</si>
  <si>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</si>
  <si>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</si>
  <si>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</si>
  <si>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</si>
  <si>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</si>
  <si>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</si>
  <si>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</si>
  <si>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</si>
  <si>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</si>
  <si>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</si>
  <si>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</si>
  <si>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</si>
  <si>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</si>
  <si>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</si>
  <si>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</si>
  <si>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</si>
  <si>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</si>
  <si>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</si>
  <si>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</si>
  <si>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</si>
  <si>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</si>
  <si>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</si>
  <si>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</si>
  <si>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WISHLIST 1</t>
  </si>
  <si>
    <t>WISHLIST</t>
  </si>
  <si>
    <t>CHASING ANYTHING EXTRA? TYPE IT IN THE COMMENTS AND IF WE HAVE IT WE WILL SEND IT</t>
  </si>
  <si>
    <t>WISHLIST 2</t>
  </si>
  <si>
    <t>WISHLIST 3</t>
  </si>
  <si>
    <t>WISHLIST 4</t>
  </si>
  <si>
    <t>WISHLIST 5</t>
  </si>
  <si>
    <t>WISHLIST 6</t>
  </si>
  <si>
    <t>LEMON</t>
  </si>
  <si>
    <t>12-13KG</t>
  </si>
  <si>
    <t>LEMXSUN</t>
  </si>
  <si>
    <t>18+ @ $5.75 PT</t>
  </si>
  <si>
    <t>PENINSULA COOLIBAH LUNAR</t>
  </si>
  <si>
    <t>CAPSICUM RED</t>
  </si>
  <si>
    <t>CAPSICUM RED 2NDS</t>
  </si>
  <si>
    <t>CAPRPIT</t>
  </si>
  <si>
    <t>CAPR2PIT</t>
  </si>
  <si>
    <t>CORN</t>
  </si>
  <si>
    <t>30EA</t>
  </si>
  <si>
    <t>CORKAL</t>
  </si>
  <si>
    <t>NICHOLSON LAKELAND BEAUVISTA</t>
  </si>
  <si>
    <t>GINNIC GINLAK GINMAH</t>
  </si>
  <si>
    <t>BEEXARA BEEXBUS</t>
  </si>
  <si>
    <t>ARAHURA BUSCH</t>
  </si>
  <si>
    <t>COOLIBAH CREMONA LUNAR</t>
  </si>
  <si>
    <t>CBOKCOO CBOKCRE CBOKLUN</t>
  </si>
  <si>
    <t>BROBPPEN</t>
  </si>
  <si>
    <t>BANANA LADY FINGER</t>
  </si>
  <si>
    <t>BASTON</t>
  </si>
  <si>
    <t>BANLBAS</t>
  </si>
  <si>
    <t>BARLOW</t>
  </si>
  <si>
    <t>EGGBLW</t>
  </si>
  <si>
    <t>LUNAR FORDSDALE CREMONA</t>
  </si>
  <si>
    <t>KALBLUN KALBSUT KALBCRE</t>
  </si>
  <si>
    <t>30+ @ $2.30 EA</t>
  </si>
  <si>
    <t>JARCMAN FIFTH ACRE</t>
  </si>
  <si>
    <t>LETCJAR LETCCHA</t>
  </si>
  <si>
    <t>LETTUCE RADICCIO</t>
  </si>
  <si>
    <t>LETRAJAR</t>
  </si>
  <si>
    <t>LETTUCE RED OAK</t>
  </si>
  <si>
    <t>LETROJAR</t>
  </si>
  <si>
    <t>JARCMAN PENINSULA</t>
  </si>
  <si>
    <t>LETBIJAR LETIPEN</t>
  </si>
  <si>
    <t>POTDUC10BLC POTDUC10BAU</t>
  </si>
  <si>
    <r>
      <rPr>
        <sz val="7"/>
        <color rgb="FF000000"/>
        <rFont val="Daytona"/>
      </rPr>
      <t>POTATO DUTCH CREAM CHAT W</t>
    </r>
    <r>
      <rPr>
        <b/>
        <sz val="7"/>
        <color rgb="FF000000"/>
        <rFont val="Daytona"/>
      </rPr>
      <t>ASHED</t>
    </r>
  </si>
  <si>
    <t>BIOFARMS BAUER</t>
  </si>
  <si>
    <t>SUTTON ORGANICAG BARLOW</t>
  </si>
  <si>
    <t>PUMSUT PUMORA PUMBLW</t>
  </si>
  <si>
    <t>SQUASH</t>
  </si>
  <si>
    <t>4KG</t>
  </si>
  <si>
    <t>SQUPIT</t>
  </si>
  <si>
    <t>MTWHITESTONE BEAUVISTA</t>
  </si>
  <si>
    <t>PSWHAR PSWMAH</t>
  </si>
  <si>
    <t>SWEET POTATO GOLD EXTRA SMALL</t>
  </si>
  <si>
    <t>PSWXSMAH</t>
  </si>
  <si>
    <t>SPRING LAKES BEAUVISTA</t>
  </si>
  <si>
    <t>PSWRSPR PSWRMAH</t>
  </si>
  <si>
    <t>TOMRPIT</t>
  </si>
  <si>
    <t>POTDUCWBEN POTDUCWBAU</t>
  </si>
  <si>
    <t>MONDAY 24TH TO WEDNESDAY 26TH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</si>
</sst>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\-&quot;$&quot;#,##0.00"/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.00"/>
    <numFmt numFmtId="166" formatCode="_([$$-409]* #,##0.00_);_([$$-409]* \(#,##0.00\);_([$$-409]* &quot;-&quot;??_);_(@_)"/>
    <numFmt numFmtId="167" formatCode="yyyy/mm/dd;@"/>
    <numFmt numFmtId="168" formatCode="00000000"/>
  </numFmts>
  <fonts count="4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Daytona"/>
      <family val="2"/>
    </font>
    <font>
      <b/>
      <sz val="10"/>
      <color theme="1"/>
      <name val="Daytona"/>
      <family val="2"/>
    </font>
    <font>
      <b/>
      <sz val="14"/>
      <color theme="1"/>
      <name val="Daytona"/>
      <family val="2"/>
    </font>
    <font>
      <b/>
      <sz val="10"/>
      <color rgb="FF33CC33"/>
      <name val="Daytona"/>
      <family val="2"/>
    </font>
    <font>
      <b/>
      <sz val="11"/>
      <color rgb="FF33CC33"/>
      <name val="Daytona"/>
      <family val="2"/>
    </font>
    <font>
      <b/>
      <sz val="11"/>
      <color theme="1"/>
      <name val="Daytona"/>
      <family val="2"/>
    </font>
    <font>
      <b/>
      <sz val="7"/>
      <color theme="1"/>
      <name val="Daytona"/>
      <family val="2"/>
    </font>
    <font>
      <b/>
      <sz val="7"/>
      <name val="Daytona"/>
      <family val="2"/>
    </font>
    <font>
      <b/>
      <sz val="7"/>
      <color rgb="FF000000"/>
      <name val="Daytona"/>
      <family val="2"/>
    </font>
    <font>
      <b/>
      <sz val="7"/>
      <color rgb="FF33CC33"/>
      <name val="Daytona"/>
      <family val="2"/>
    </font>
    <font>
      <b/>
      <sz val="12"/>
      <name val="Daytona"/>
      <family val="2"/>
    </font>
    <font>
      <b/>
      <sz val="9"/>
      <name val="Daytona"/>
      <family val="2"/>
    </font>
    <font>
      <b/>
      <u/>
      <sz val="8"/>
      <color theme="9"/>
      <name val="Daytona"/>
      <family val="2"/>
    </font>
    <font>
      <b/>
      <sz val="12"/>
      <color rgb="FF000000"/>
      <name val="Daytona"/>
      <family val="2"/>
    </font>
    <font>
      <b/>
      <sz val="6"/>
      <name val="Daytona"/>
      <family val="2"/>
    </font>
    <font>
      <sz val="7"/>
      <color theme="1"/>
      <name val="Daytona"/>
      <family val="2"/>
    </font>
    <font>
      <sz val="10"/>
      <color theme="1"/>
      <name val="Daytona"/>
      <family val="2"/>
    </font>
    <font>
      <sz val="8"/>
      <color theme="1"/>
      <name val="Daytona"/>
      <family val="2"/>
    </font>
    <font>
      <sz val="7"/>
      <color rgb="FF000000"/>
      <name val="Daytona"/>
      <family val="2"/>
    </font>
    <font>
      <sz val="8"/>
      <color rgb="FF000000"/>
      <name val="Daytona"/>
      <family val="2"/>
    </font>
    <font>
      <sz val="6"/>
      <color theme="1"/>
      <name val="Daytona"/>
      <family val="2"/>
    </font>
    <font>
      <b/>
      <sz val="6"/>
      <color theme="1"/>
      <name val="Daytona"/>
      <family val="2"/>
    </font>
    <font>
      <b/>
      <sz val="7"/>
      <color theme="1"/>
      <name val="Daytona"/>
      <family val="2"/>
    </font>
    <font>
      <b/>
      <sz val="14"/>
      <color rgb="FF000000"/>
      <name val="Daytona"/>
      <family val="2"/>
    </font>
    <font>
      <sz val="11"/>
      <color rgb="FFFF0000"/>
      <name val="Calibri"/>
      <family val="2"/>
      <scheme val="minor"/>
    </font>
    <font>
      <b/>
      <sz val="7"/>
      <color theme="1"/>
      <name val="Daytona"/>
      <family val="2"/>
    </font>
    <font>
      <sz val="6"/>
      <color rgb="FF000000"/>
      <name val="Daytona"/>
      <family val="2"/>
    </font>
    <font>
      <sz val="10"/>
      <color rgb="FF000000"/>
      <name val="Daytona"/>
      <family val="2"/>
    </font>
    <font>
      <b/>
      <sz val="9"/>
      <color theme="1"/>
      <name val="Daytona"/>
      <family val="2"/>
    </font>
    <font>
      <sz val="8"/>
      <name val="Daytona"/>
      <family val="2"/>
    </font>
    <font>
      <sz val="8"/>
      <color rgb="FF222222"/>
      <name val="Daytona"/>
      <family val="2"/>
    </font>
    <font>
      <sz val="7"/>
      <color rgb="FF222222"/>
      <name val="Daytona"/>
      <family val="2"/>
    </font>
    <font>
      <b/>
      <sz val="10"/>
      <color rgb="FF222222"/>
      <name val="Daytona"/>
      <family val="2"/>
    </font>
    <font>
      <sz val="8"/>
      <color rgb="FF242424"/>
      <name val="Aptos Narrow"/>
      <family val="2"/>
    </font>
    <font>
      <sz val="10"/>
      <color rgb="FF000000"/>
      <name val="Arial"/>
      <family val="2"/>
    </font>
    <font>
      <b/>
      <sz val="10"/>
      <color rgb="FF000000"/>
      <name val="Daytona"/>
      <family val="2"/>
    </font>
    <font>
      <sz val="6"/>
      <color rgb="FF242424"/>
      <name val="Aptos Narrow"/>
      <family val="2"/>
    </font>
    <font>
      <b/>
      <u/>
      <sz val="7"/>
      <color theme="9"/>
      <name val="Daytona"/>
      <family val="2"/>
    </font>
    <font>
      <sz val="7"/>
      <color rgb="FF000000"/>
      <name val="Daytona"/>
    </font>
    <font>
      <b/>
      <sz val="7"/>
      <color rgb="FF000000"/>
      <name val="Daytona"/>
    </font>
    <font>
      <sz val="6"/>
      <color rgb="FF222222"/>
      <name val="Daytona"/>
      <family val="2"/>
    </font>
    <font>
      <sz val="6"/>
      <name val="Daytona"/>
      <family val="2"/>
    </font>
    <font>
      <b/>
      <sz val="18"/>
      <color theme="9"/>
      <name val="Daytona"/>
      <family val="2"/>
    </font>
    <font>
      <b/>
      <sz val="8"/>
      <name val="Dayton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39" fillId="0" borderId="0"/>
    <xf numFmtId="164" fontId="39" fillId="0" borderId="0" applyFont="0" applyFill="0" applyBorder="0" applyAlignment="0" applyProtection="0"/>
  </cellStyleXfs>
  <cellXfs count="226">
    <xf numFmtId="0" fontId="0" fillId="0" borderId="0" xfId="0"/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49" fontId="11" fillId="0" borderId="6" xfId="0" applyNumberFormat="1" applyFont="1" applyBorder="1" applyAlignment="1" applyProtection="1">
      <alignment horizontal="center" vertical="center" wrapText="1"/>
      <protection locked="0"/>
    </xf>
    <xf numFmtId="0" fontId="10" fillId="2" borderId="0" xfId="0" applyFont="1" applyFill="1" applyProtection="1"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49" fontId="11" fillId="0" borderId="0" xfId="0" applyNumberFormat="1" applyFont="1" applyProtection="1">
      <protection locked="0"/>
    </xf>
    <xf numFmtId="0" fontId="7" fillId="3" borderId="7" xfId="0" applyFont="1" applyFill="1" applyBorder="1" applyAlignment="1" applyProtection="1">
      <alignment vertical="center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7" fillId="3" borderId="10" xfId="0" applyFont="1" applyFill="1" applyBorder="1" applyAlignment="1" applyProtection="1">
      <alignment vertical="center"/>
      <protection locked="0"/>
    </xf>
    <xf numFmtId="164" fontId="10" fillId="0" borderId="0" xfId="1" applyFont="1" applyFill="1" applyAlignment="1" applyProtection="1">
      <alignment horizontal="center" vertical="center"/>
      <protection locked="0"/>
    </xf>
    <xf numFmtId="164" fontId="26" fillId="0" borderId="0" xfId="1" applyFont="1" applyAlignment="1" applyProtection="1">
      <alignment horizontal="center" vertical="center"/>
      <protection locked="0"/>
    </xf>
    <xf numFmtId="0" fontId="7" fillId="3" borderId="10" xfId="0" applyFont="1" applyFill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6" fontId="5" fillId="0" borderId="0" xfId="1" applyNumberFormat="1" applyFont="1" applyProtection="1">
      <protection locked="0"/>
    </xf>
    <xf numFmtId="49" fontId="20" fillId="0" borderId="13" xfId="0" applyNumberFormat="1" applyFont="1" applyBorder="1" applyAlignment="1" applyProtection="1">
      <alignment horizontal="left" vertical="center" wrapText="1"/>
      <protection locked="0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/>
      <protection locked="0"/>
    </xf>
    <xf numFmtId="164" fontId="26" fillId="0" borderId="0" xfId="1" applyFont="1" applyFill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66" fontId="16" fillId="0" borderId="0" xfId="1" applyNumberFormat="1" applyFont="1" applyBorder="1" applyAlignment="1" applyProtection="1">
      <alignment horizontal="right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7" fillId="3" borderId="8" xfId="0" applyFont="1" applyFill="1" applyBorder="1" applyAlignment="1" applyProtection="1">
      <alignment vertical="center"/>
      <protection locked="0"/>
    </xf>
    <xf numFmtId="0" fontId="7" fillId="3" borderId="7" xfId="0" applyFont="1" applyFill="1" applyBorder="1" applyAlignment="1" applyProtection="1">
      <alignment horizontal="center" vertical="center"/>
      <protection locked="0"/>
    </xf>
    <xf numFmtId="166" fontId="7" fillId="3" borderId="7" xfId="0" applyNumberFormat="1" applyFont="1" applyFill="1" applyBorder="1" applyAlignment="1" applyProtection="1">
      <alignment vertical="center"/>
      <protection locked="0"/>
    </xf>
    <xf numFmtId="0" fontId="7" fillId="3" borderId="9" xfId="0" applyFont="1" applyFill="1" applyBorder="1" applyAlignment="1" applyProtection="1">
      <alignment horizontal="center" vertical="center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left" vertical="center" wrapText="1"/>
      <protection locked="0"/>
    </xf>
    <xf numFmtId="44" fontId="22" fillId="2" borderId="13" xfId="2" applyFont="1" applyFill="1" applyBorder="1" applyAlignment="1" applyProtection="1">
      <alignment horizontal="center" vertical="center" wrapText="1"/>
      <protection locked="0"/>
    </xf>
    <xf numFmtId="49" fontId="11" fillId="0" borderId="13" xfId="0" applyNumberFormat="1" applyFont="1" applyBorder="1" applyAlignment="1" applyProtection="1">
      <alignment horizontal="center" vertical="center" wrapText="1"/>
      <protection locked="0"/>
    </xf>
    <xf numFmtId="166" fontId="11" fillId="0" borderId="13" xfId="1" applyNumberFormat="1" applyFont="1" applyBorder="1" applyAlignment="1" applyProtection="1">
      <alignment horizontal="center" vertical="center" wrapText="1"/>
      <protection locked="0"/>
    </xf>
    <xf numFmtId="0" fontId="20" fillId="0" borderId="13" xfId="0" applyFont="1" applyBorder="1" applyAlignment="1" applyProtection="1">
      <alignment horizontal="left" vertical="center" wrapText="1"/>
      <protection locked="0"/>
    </xf>
    <xf numFmtId="0" fontId="7" fillId="3" borderId="11" xfId="0" applyFont="1" applyFill="1" applyBorder="1" applyAlignment="1" applyProtection="1">
      <alignment vertical="center"/>
      <protection locked="0"/>
    </xf>
    <xf numFmtId="166" fontId="7" fillId="3" borderId="10" xfId="0" applyNumberFormat="1" applyFont="1" applyFill="1" applyBorder="1" applyAlignment="1" applyProtection="1">
      <alignment vertical="center"/>
      <protection locked="0"/>
    </xf>
    <xf numFmtId="0" fontId="28" fillId="3" borderId="12" xfId="0" applyFont="1" applyFill="1" applyBorder="1" applyAlignment="1" applyProtection="1">
      <alignment horizontal="center" vertical="center"/>
      <protection locked="0"/>
    </xf>
    <xf numFmtId="166" fontId="22" fillId="2" borderId="13" xfId="1" applyNumberFormat="1" applyFont="1" applyFill="1" applyBorder="1" applyAlignment="1" applyProtection="1">
      <alignment vertical="center"/>
      <protection locked="0"/>
    </xf>
    <xf numFmtId="166" fontId="11" fillId="0" borderId="6" xfId="1" applyNumberFormat="1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6" fontId="5" fillId="0" borderId="1" xfId="1" applyNumberFormat="1" applyFont="1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left" vertical="center" wrapText="1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166" fontId="5" fillId="0" borderId="2" xfId="1" applyNumberFormat="1" applyFont="1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33" fillId="3" borderId="3" xfId="0" applyFont="1" applyFill="1" applyBorder="1" applyAlignment="1" applyProtection="1">
      <alignment vertical="center"/>
      <protection locked="0"/>
    </xf>
    <xf numFmtId="0" fontId="33" fillId="3" borderId="4" xfId="0" applyFont="1" applyFill="1" applyBorder="1" applyAlignment="1" applyProtection="1">
      <alignment horizontal="center" vertical="center"/>
      <protection locked="0"/>
    </xf>
    <xf numFmtId="0" fontId="33" fillId="3" borderId="4" xfId="0" applyFont="1" applyFill="1" applyBorder="1" applyAlignment="1" applyProtection="1">
      <alignment vertical="center"/>
      <protection locked="0"/>
    </xf>
    <xf numFmtId="166" fontId="33" fillId="3" borderId="4" xfId="0" applyNumberFormat="1" applyFont="1" applyFill="1" applyBorder="1" applyAlignment="1" applyProtection="1">
      <alignment vertical="center"/>
      <protection locked="0"/>
    </xf>
    <xf numFmtId="0" fontId="33" fillId="3" borderId="5" xfId="0" applyFont="1" applyFill="1" applyBorder="1" applyAlignment="1" applyProtection="1">
      <alignment horizontal="center" vertical="center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0" fontId="7" fillId="3" borderId="11" xfId="0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49" fontId="21" fillId="0" borderId="13" xfId="0" applyNumberFormat="1" applyFont="1" applyBorder="1" applyAlignment="1" applyProtection="1">
      <alignment horizontal="center" vertical="center"/>
      <protection locked="0"/>
    </xf>
    <xf numFmtId="49" fontId="7" fillId="3" borderId="7" xfId="0" applyNumberFormat="1" applyFont="1" applyFill="1" applyBorder="1" applyAlignment="1" applyProtection="1">
      <alignment vertical="center"/>
      <protection locked="0"/>
    </xf>
    <xf numFmtId="49" fontId="7" fillId="3" borderId="10" xfId="0" applyNumberFormat="1" applyFont="1" applyFill="1" applyBorder="1" applyAlignment="1" applyProtection="1">
      <alignment vertical="center"/>
      <protection locked="0"/>
    </xf>
    <xf numFmtId="0" fontId="27" fillId="0" borderId="0" xfId="0" applyFont="1" applyAlignment="1" applyProtection="1">
      <alignment vertical="center"/>
      <protection locked="0"/>
    </xf>
    <xf numFmtId="164" fontId="10" fillId="0" borderId="0" xfId="1" applyFont="1" applyAlignment="1" applyProtection="1">
      <alignment horizontal="center" vertical="center"/>
      <protection locked="0"/>
    </xf>
    <xf numFmtId="164" fontId="11" fillId="0" borderId="0" xfId="1" applyFont="1" applyAlignment="1" applyProtection="1">
      <alignment horizontal="center" vertical="center"/>
      <protection locked="0"/>
    </xf>
    <xf numFmtId="164" fontId="11" fillId="0" borderId="0" xfId="1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164" fontId="0" fillId="0" borderId="0" xfId="0" applyNumberFormat="1" applyProtection="1">
      <protection locked="0"/>
    </xf>
    <xf numFmtId="0" fontId="29" fillId="0" borderId="0" xfId="0" applyFont="1" applyProtection="1">
      <protection locked="0"/>
    </xf>
    <xf numFmtId="49" fontId="20" fillId="0" borderId="13" xfId="0" applyNumberFormat="1" applyFont="1" applyBorder="1" applyAlignment="1" applyProtection="1">
      <alignment horizontal="center" vertical="center" wrapText="1"/>
      <protection locked="0"/>
    </xf>
    <xf numFmtId="0" fontId="23" fillId="0" borderId="13" xfId="0" applyFont="1" applyBorder="1" applyAlignment="1" applyProtection="1">
      <alignment horizontal="center" vertical="center" wrapText="1"/>
      <protection locked="0"/>
    </xf>
    <xf numFmtId="0" fontId="11" fillId="6" borderId="1" xfId="0" applyFont="1" applyFill="1" applyBorder="1" applyAlignment="1" applyProtection="1">
      <alignment horizontal="center" vertical="center" wrapText="1"/>
      <protection locked="0"/>
    </xf>
    <xf numFmtId="0" fontId="20" fillId="0" borderId="13" xfId="0" applyFont="1" applyBorder="1" applyAlignment="1" applyProtection="1">
      <alignment horizontal="center" vertical="center" wrapText="1" shrinkToFit="1"/>
      <protection locked="0"/>
    </xf>
    <xf numFmtId="0" fontId="23" fillId="0" borderId="13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3" fillId="4" borderId="13" xfId="0" applyFont="1" applyFill="1" applyBorder="1" applyAlignment="1">
      <alignment horizontal="center" vertical="center" wrapText="1"/>
    </xf>
    <xf numFmtId="0" fontId="31" fillId="4" borderId="13" xfId="0" applyFont="1" applyFill="1" applyBorder="1" applyAlignment="1">
      <alignment horizontal="center" vertical="center" wrapText="1"/>
    </xf>
    <xf numFmtId="0" fontId="17" fillId="0" borderId="10" xfId="3" applyFont="1" applyBorder="1" applyAlignment="1" applyProtection="1">
      <alignment vertical="center"/>
      <protection locked="0"/>
    </xf>
    <xf numFmtId="0" fontId="17" fillId="0" borderId="10" xfId="3" applyFont="1" applyBorder="1" applyAlignment="1" applyProtection="1">
      <alignment horizontal="center" vertical="center"/>
      <protection locked="0"/>
    </xf>
    <xf numFmtId="164" fontId="24" fillId="2" borderId="13" xfId="1" applyFont="1" applyFill="1" applyBorder="1" applyAlignment="1">
      <alignment horizontal="center" vertical="center" wrapText="1"/>
    </xf>
    <xf numFmtId="164" fontId="24" fillId="7" borderId="13" xfId="1" applyFont="1" applyFill="1" applyBorder="1" applyAlignment="1">
      <alignment horizontal="center" vertical="center" wrapText="1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49" fontId="7" fillId="3" borderId="0" xfId="0" applyNumberFormat="1" applyFont="1" applyFill="1" applyAlignment="1" applyProtection="1">
      <alignment vertical="center"/>
      <protection locked="0"/>
    </xf>
    <xf numFmtId="0" fontId="20" fillId="2" borderId="13" xfId="0" applyFont="1" applyFill="1" applyBorder="1" applyAlignment="1" applyProtection="1">
      <alignment horizontal="center" vertical="center" wrapText="1" shrinkToFit="1"/>
      <protection locked="0"/>
    </xf>
    <xf numFmtId="0" fontId="13" fillId="3" borderId="12" xfId="0" applyFont="1" applyFill="1" applyBorder="1" applyAlignment="1" applyProtection="1">
      <alignment horizontal="center" vertical="center"/>
      <protection locked="0"/>
    </xf>
    <xf numFmtId="49" fontId="25" fillId="0" borderId="13" xfId="0" applyNumberFormat="1" applyFont="1" applyBorder="1" applyAlignment="1" applyProtection="1">
      <alignment horizontal="center" vertical="center" wrapText="1"/>
      <protection locked="0"/>
    </xf>
    <xf numFmtId="166" fontId="22" fillId="2" borderId="13" xfId="0" applyNumberFormat="1" applyFont="1" applyFill="1" applyBorder="1" applyAlignment="1" applyProtection="1">
      <alignment horizontal="center" vertical="center"/>
      <protection locked="0"/>
    </xf>
    <xf numFmtId="0" fontId="37" fillId="0" borderId="13" xfId="0" applyFont="1" applyBorder="1" applyAlignment="1" applyProtection="1">
      <alignment horizontal="left" vertical="center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26" fillId="2" borderId="13" xfId="0" applyFont="1" applyFill="1" applyBorder="1" applyAlignment="1" applyProtection="1">
      <alignment horizontal="center" vertical="center" wrapText="1"/>
      <protection locked="0"/>
    </xf>
    <xf numFmtId="1" fontId="6" fillId="6" borderId="2" xfId="0" applyNumberFormat="1" applyFont="1" applyFill="1" applyBorder="1" applyAlignment="1" applyProtection="1">
      <alignment horizontal="center" vertical="center"/>
      <protection locked="0"/>
    </xf>
    <xf numFmtId="0" fontId="36" fillId="0" borderId="13" xfId="0" applyFont="1" applyBorder="1" applyAlignment="1" applyProtection="1">
      <alignment horizontal="left" vertical="center" wrapText="1"/>
      <protection locked="0"/>
    </xf>
    <xf numFmtId="166" fontId="11" fillId="0" borderId="13" xfId="1" applyNumberFormat="1" applyFont="1" applyFill="1" applyBorder="1" applyAlignment="1" applyProtection="1">
      <alignment horizontal="center" vertical="center" wrapText="1"/>
      <protection locked="0"/>
    </xf>
    <xf numFmtId="0" fontId="7" fillId="3" borderId="16" xfId="0" applyFont="1" applyFill="1" applyBorder="1" applyAlignment="1" applyProtection="1">
      <alignment horizontal="center" vertical="center"/>
      <protection locked="0"/>
    </xf>
    <xf numFmtId="164" fontId="11" fillId="0" borderId="13" xfId="1" applyFont="1" applyBorder="1" applyAlignment="1" applyProtection="1">
      <alignment horizontal="center" vertical="center" wrapText="1"/>
      <protection locked="0"/>
    </xf>
    <xf numFmtId="49" fontId="26" fillId="0" borderId="13" xfId="0" applyNumberFormat="1" applyFont="1" applyBorder="1" applyAlignment="1" applyProtection="1">
      <alignment horizontal="center" vertical="center" wrapText="1"/>
      <protection locked="0"/>
    </xf>
    <xf numFmtId="166" fontId="22" fillId="0" borderId="13" xfId="0" applyNumberFormat="1" applyFont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left" vertical="center"/>
      <protection locked="0"/>
    </xf>
    <xf numFmtId="0" fontId="36" fillId="0" borderId="13" xfId="0" applyFont="1" applyBorder="1" applyAlignment="1" applyProtection="1">
      <alignment horizontal="left" vertical="center"/>
      <protection locked="0"/>
    </xf>
    <xf numFmtId="0" fontId="6" fillId="2" borderId="13" xfId="0" applyFont="1" applyFill="1" applyBorder="1" applyAlignment="1" applyProtection="1">
      <alignment horizontal="left" vertical="center" wrapText="1"/>
      <protection locked="0"/>
    </xf>
    <xf numFmtId="167" fontId="0" fillId="0" borderId="0" xfId="0" applyNumberFormat="1" applyProtection="1"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20" fillId="8" borderId="13" xfId="0" applyFont="1" applyFill="1" applyBorder="1" applyAlignment="1" applyProtection="1">
      <alignment horizontal="left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49" fontId="21" fillId="0" borderId="13" xfId="0" applyNumberFormat="1" applyFont="1" applyBorder="1" applyAlignment="1" applyProtection="1">
      <alignment horizontal="center" vertical="center" wrapText="1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28" fillId="3" borderId="9" xfId="0" applyFont="1" applyFill="1" applyBorder="1" applyAlignment="1" applyProtection="1">
      <alignment horizontal="center" vertical="center"/>
      <protection locked="0"/>
    </xf>
    <xf numFmtId="0" fontId="11" fillId="0" borderId="40" xfId="0" applyFont="1" applyBorder="1" applyAlignment="1" applyProtection="1">
      <alignment horizontal="center" vertical="center" wrapText="1"/>
      <protection locked="0"/>
    </xf>
    <xf numFmtId="49" fontId="11" fillId="0" borderId="40" xfId="0" applyNumberFormat="1" applyFont="1" applyBorder="1" applyAlignment="1" applyProtection="1">
      <alignment horizontal="center" vertical="center" wrapText="1"/>
      <protection locked="0"/>
    </xf>
    <xf numFmtId="166" fontId="11" fillId="0" borderId="40" xfId="1" applyNumberFormat="1" applyFont="1" applyBorder="1" applyAlignment="1" applyProtection="1">
      <alignment horizontal="center" vertical="center" wrapText="1"/>
      <protection locked="0"/>
    </xf>
    <xf numFmtId="0" fontId="13" fillId="0" borderId="40" xfId="0" applyFont="1" applyBorder="1" applyAlignment="1" applyProtection="1">
      <alignment horizontal="center" vertical="center" wrapText="1"/>
      <protection locked="0"/>
    </xf>
    <xf numFmtId="8" fontId="0" fillId="0" borderId="0" xfId="0" applyNumberFormat="1"/>
    <xf numFmtId="0" fontId="28" fillId="3" borderId="10" xfId="0" applyFont="1" applyFill="1" applyBorder="1" applyAlignment="1" applyProtection="1">
      <alignment horizontal="center" vertical="center"/>
      <protection locked="0"/>
    </xf>
    <xf numFmtId="49" fontId="35" fillId="0" borderId="13" xfId="0" applyNumberFormat="1" applyFont="1" applyBorder="1" applyAlignment="1" applyProtection="1">
      <alignment horizontal="left" vertical="center"/>
      <protection locked="0"/>
    </xf>
    <xf numFmtId="0" fontId="38" fillId="0" borderId="13" xfId="0" applyFont="1" applyBorder="1" applyAlignment="1">
      <alignment wrapText="1"/>
    </xf>
    <xf numFmtId="168" fontId="35" fillId="0" borderId="13" xfId="0" applyNumberFormat="1" applyFont="1" applyBorder="1" applyAlignment="1" applyProtection="1">
      <alignment horizontal="left" vertical="center"/>
      <protection locked="0"/>
    </xf>
    <xf numFmtId="0" fontId="41" fillId="0" borderId="13" xfId="0" applyFont="1" applyBorder="1" applyAlignment="1">
      <alignment wrapText="1"/>
    </xf>
    <xf numFmtId="0" fontId="42" fillId="0" borderId="10" xfId="3" applyFont="1" applyBorder="1" applyAlignment="1" applyProtection="1">
      <alignment vertical="center"/>
      <protection locked="0"/>
    </xf>
    <xf numFmtId="0" fontId="11" fillId="3" borderId="7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13" fillId="0" borderId="1" xfId="0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11" fillId="3" borderId="4" xfId="0" applyFont="1" applyFill="1" applyBorder="1" applyAlignment="1" applyProtection="1">
      <alignment vertical="center"/>
      <protection locked="0"/>
    </xf>
    <xf numFmtId="0" fontId="17" fillId="0" borderId="10" xfId="3" applyFont="1" applyBorder="1" applyAlignment="1" applyProtection="1">
      <alignment vertical="center" wrapText="1"/>
      <protection locked="0"/>
    </xf>
    <xf numFmtId="0" fontId="7" fillId="3" borderId="7" xfId="0" applyFont="1" applyFill="1" applyBorder="1" applyAlignment="1" applyProtection="1">
      <alignment vertical="center" wrapText="1"/>
      <protection locked="0"/>
    </xf>
    <xf numFmtId="0" fontId="7" fillId="3" borderId="10" xfId="0" applyFont="1" applyFill="1" applyBorder="1" applyAlignment="1" applyProtection="1">
      <alignment vertical="center" wrapText="1"/>
      <protection locked="0"/>
    </xf>
    <xf numFmtId="0" fontId="7" fillId="3" borderId="0" xfId="0" applyFont="1" applyFill="1" applyAlignment="1" applyProtection="1">
      <alignment vertical="center" wrapText="1"/>
      <protection locked="0"/>
    </xf>
    <xf numFmtId="0" fontId="33" fillId="3" borderId="4" xfId="0" applyFont="1" applyFill="1" applyBorder="1" applyAlignment="1" applyProtection="1">
      <alignment vertical="center" wrapText="1"/>
      <protection locked="0"/>
    </xf>
    <xf numFmtId="49" fontId="11" fillId="0" borderId="0" xfId="0" applyNumberFormat="1" applyFont="1" applyAlignment="1" applyProtection="1">
      <alignment wrapText="1"/>
      <protection locked="0"/>
    </xf>
    <xf numFmtId="0" fontId="25" fillId="2" borderId="13" xfId="0" applyFont="1" applyFill="1" applyBorder="1" applyAlignment="1" applyProtection="1">
      <alignment horizontal="left" vertical="center" wrapText="1"/>
      <protection locked="0"/>
    </xf>
    <xf numFmtId="0" fontId="25" fillId="2" borderId="13" xfId="0" applyFont="1" applyFill="1" applyBorder="1" applyAlignment="1" applyProtection="1">
      <alignment vertical="center" wrapText="1"/>
      <protection locked="0"/>
    </xf>
    <xf numFmtId="0" fontId="26" fillId="2" borderId="40" xfId="0" applyFont="1" applyFill="1" applyBorder="1" applyAlignment="1" applyProtection="1">
      <alignment horizontal="center" vertical="center" wrapText="1"/>
      <protection locked="0"/>
    </xf>
    <xf numFmtId="0" fontId="7" fillId="3" borderId="41" xfId="0" applyFont="1" applyFill="1" applyBorder="1" applyAlignment="1" applyProtection="1">
      <alignment vertical="center"/>
      <protection locked="0"/>
    </xf>
    <xf numFmtId="166" fontId="7" fillId="3" borderId="0" xfId="0" applyNumberFormat="1" applyFont="1" applyFill="1" applyAlignment="1" applyProtection="1">
      <alignment vertical="center"/>
      <protection locked="0"/>
    </xf>
    <xf numFmtId="0" fontId="7" fillId="3" borderId="42" xfId="0" applyFont="1" applyFill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6" fillId="5" borderId="26" xfId="0" applyFont="1" applyFill="1" applyBorder="1" applyAlignment="1" applyProtection="1">
      <alignment horizontal="center" vertical="center"/>
      <protection locked="0"/>
    </xf>
    <xf numFmtId="0" fontId="6" fillId="5" borderId="17" xfId="0" applyFont="1" applyFill="1" applyBorder="1" applyAlignment="1" applyProtection="1">
      <alignment horizontal="center" vertical="center"/>
      <protection locked="0"/>
    </xf>
    <xf numFmtId="0" fontId="11" fillId="5" borderId="23" xfId="0" applyFont="1" applyFill="1" applyBorder="1" applyAlignment="1" applyProtection="1">
      <alignment horizontal="left" vertical="center" wrapText="1"/>
      <protection locked="0"/>
    </xf>
    <xf numFmtId="0" fontId="11" fillId="5" borderId="24" xfId="0" applyFont="1" applyFill="1" applyBorder="1" applyAlignment="1" applyProtection="1">
      <alignment horizontal="left" vertical="center" wrapText="1"/>
      <protection locked="0"/>
    </xf>
    <xf numFmtId="0" fontId="11" fillId="5" borderId="25" xfId="0" applyFont="1" applyFill="1" applyBorder="1" applyAlignment="1" applyProtection="1">
      <alignment horizontal="left" vertical="center" wrapText="1"/>
      <protection locked="0"/>
    </xf>
    <xf numFmtId="0" fontId="11" fillId="5" borderId="14" xfId="0" applyFont="1" applyFill="1" applyBorder="1" applyAlignment="1" applyProtection="1">
      <alignment horizontal="left" vertical="center" wrapText="1"/>
      <protection locked="0"/>
    </xf>
    <xf numFmtId="0" fontId="11" fillId="5" borderId="15" xfId="0" applyFont="1" applyFill="1" applyBorder="1" applyAlignment="1" applyProtection="1">
      <alignment horizontal="left" vertical="center" wrapText="1"/>
      <protection locked="0"/>
    </xf>
    <xf numFmtId="0" fontId="11" fillId="5" borderId="22" xfId="0" applyFont="1" applyFill="1" applyBorder="1" applyAlignment="1" applyProtection="1">
      <alignment horizontal="left" vertical="center" wrapText="1"/>
      <protection locked="0"/>
    </xf>
    <xf numFmtId="0" fontId="23" fillId="5" borderId="14" xfId="0" applyFont="1" applyFill="1" applyBorder="1" applyAlignment="1" applyProtection="1">
      <alignment horizontal="left" vertical="center" wrapText="1"/>
      <protection locked="0"/>
    </xf>
    <xf numFmtId="0" fontId="23" fillId="5" borderId="15" xfId="0" applyFont="1" applyFill="1" applyBorder="1" applyAlignment="1" applyProtection="1">
      <alignment horizontal="left" vertical="center" wrapText="1"/>
      <protection locked="0"/>
    </xf>
    <xf numFmtId="0" fontId="23" fillId="5" borderId="22" xfId="0" applyFont="1" applyFill="1" applyBorder="1" applyAlignment="1" applyProtection="1">
      <alignment horizontal="left" vertical="center" wrapText="1"/>
      <protection locked="0"/>
    </xf>
    <xf numFmtId="0" fontId="11" fillId="0" borderId="20" xfId="0" applyFont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 vertical="center" wrapText="1"/>
      <protection locked="0"/>
    </xf>
    <xf numFmtId="0" fontId="11" fillId="0" borderId="40" xfId="0" applyFont="1" applyBorder="1" applyAlignment="1" applyProtection="1">
      <alignment horizontal="center" vertical="center" wrapText="1"/>
      <protection locked="0"/>
    </xf>
    <xf numFmtId="0" fontId="18" fillId="0" borderId="30" xfId="0" applyFont="1" applyBorder="1" applyAlignment="1" applyProtection="1">
      <alignment horizontal="left" vertical="center"/>
      <protection locked="0"/>
    </xf>
    <xf numFmtId="0" fontId="18" fillId="0" borderId="19" xfId="0" applyFont="1" applyBorder="1" applyAlignment="1" applyProtection="1">
      <alignment horizontal="left" vertical="center"/>
      <protection locked="0"/>
    </xf>
    <xf numFmtId="0" fontId="18" fillId="0" borderId="31" xfId="0" applyFont="1" applyBorder="1" applyAlignment="1" applyProtection="1">
      <alignment horizontal="left" vertical="center"/>
      <protection locked="0"/>
    </xf>
    <xf numFmtId="0" fontId="18" fillId="0" borderId="32" xfId="0" applyFont="1" applyBorder="1" applyAlignment="1" applyProtection="1">
      <alignment horizontal="left" vertical="center"/>
      <protection locked="0"/>
    </xf>
    <xf numFmtId="0" fontId="18" fillId="0" borderId="18" xfId="0" applyFont="1" applyBorder="1" applyAlignment="1" applyProtection="1">
      <alignment horizontal="left" vertical="center"/>
      <protection locked="0"/>
    </xf>
    <xf numFmtId="0" fontId="18" fillId="0" borderId="33" xfId="0" applyFont="1" applyBorder="1" applyAlignment="1" applyProtection="1">
      <alignment horizontal="left" vertical="center"/>
      <protection locked="0"/>
    </xf>
    <xf numFmtId="164" fontId="12" fillId="0" borderId="0" xfId="1" applyFont="1" applyAlignment="1" applyProtection="1">
      <alignment horizontal="center" vertical="center" wrapText="1"/>
      <protection locked="0"/>
    </xf>
    <xf numFmtId="0" fontId="15" fillId="0" borderId="30" xfId="0" applyFont="1" applyBorder="1" applyAlignment="1" applyProtection="1">
      <alignment horizontal="left" vertical="center"/>
      <protection locked="0"/>
    </xf>
    <xf numFmtId="0" fontId="15" fillId="0" borderId="19" xfId="0" applyFont="1" applyBorder="1" applyAlignment="1" applyProtection="1">
      <alignment horizontal="left" vertical="center"/>
      <protection locked="0"/>
    </xf>
    <xf numFmtId="0" fontId="15" fillId="0" borderId="31" xfId="0" applyFont="1" applyBorder="1" applyAlignment="1" applyProtection="1">
      <alignment horizontal="left" vertical="center"/>
      <protection locked="0"/>
    </xf>
    <xf numFmtId="0" fontId="15" fillId="0" borderId="34" xfId="0" applyFont="1" applyBorder="1" applyAlignment="1" applyProtection="1">
      <alignment horizontal="left" vertical="center"/>
      <protection locked="0"/>
    </xf>
    <xf numFmtId="0" fontId="15" fillId="0" borderId="35" xfId="0" applyFont="1" applyBorder="1" applyAlignment="1" applyProtection="1">
      <alignment horizontal="left" vertical="center"/>
      <protection locked="0"/>
    </xf>
    <xf numFmtId="0" fontId="15" fillId="0" borderId="36" xfId="0" applyFont="1" applyBorder="1" applyAlignment="1" applyProtection="1">
      <alignment horizontal="left" vertical="center"/>
      <protection locked="0"/>
    </xf>
    <xf numFmtId="0" fontId="19" fillId="0" borderId="37" xfId="3" applyFont="1" applyBorder="1" applyAlignment="1" applyProtection="1">
      <alignment horizontal="center" vertical="center" wrapText="1"/>
      <protection locked="0"/>
    </xf>
    <xf numFmtId="0" fontId="19" fillId="0" borderId="38" xfId="3" applyFont="1" applyBorder="1" applyAlignment="1" applyProtection="1">
      <alignment horizontal="center" vertical="center" wrapText="1"/>
      <protection locked="0"/>
    </xf>
    <xf numFmtId="0" fontId="19" fillId="0" borderId="27" xfId="3" applyFont="1" applyBorder="1" applyAlignment="1" applyProtection="1">
      <alignment horizontal="center" vertical="center" wrapText="1"/>
      <protection locked="0"/>
    </xf>
    <xf numFmtId="0" fontId="19" fillId="0" borderId="28" xfId="3" applyFont="1" applyBorder="1" applyAlignment="1" applyProtection="1">
      <alignment horizontal="center" vertical="center" wrapText="1"/>
      <protection locked="0"/>
    </xf>
    <xf numFmtId="0" fontId="12" fillId="0" borderId="39" xfId="3" applyFont="1" applyBorder="1" applyAlignment="1" applyProtection="1">
      <alignment horizontal="center" vertical="center" wrapText="1"/>
      <protection locked="0"/>
    </xf>
    <xf numFmtId="0" fontId="12" fillId="0" borderId="29" xfId="3" applyFont="1" applyBorder="1" applyAlignment="1" applyProtection="1">
      <alignment horizontal="center" vertical="center" wrapText="1"/>
      <protection locked="0"/>
    </xf>
    <xf numFmtId="0" fontId="25" fillId="0" borderId="13" xfId="0" applyFont="1" applyBorder="1" applyAlignment="1" applyProtection="1">
      <alignment horizontal="center" vertical="center" wrapText="1"/>
      <protection locked="0"/>
    </xf>
    <xf numFmtId="0" fontId="25" fillId="0" borderId="13" xfId="0" applyFont="1" applyBorder="1" applyAlignment="1" applyProtection="1">
      <alignment horizontal="left" vertical="center" wrapText="1"/>
      <protection locked="0"/>
    </xf>
    <xf numFmtId="0" fontId="25" fillId="2" borderId="13" xfId="0" applyFont="1" applyFill="1" applyBorder="1" applyAlignment="1" applyProtection="1">
      <alignment horizontal="center" vertical="center" wrapText="1"/>
      <protection locked="0"/>
    </xf>
    <xf numFmtId="0" fontId="31" fillId="0" borderId="13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left" vertical="center" wrapText="1"/>
    </xf>
    <xf numFmtId="0" fontId="26" fillId="3" borderId="10" xfId="0" applyFont="1" applyFill="1" applyBorder="1" applyAlignment="1" applyProtection="1">
      <alignment horizontal="center" vertical="center"/>
      <protection locked="0"/>
    </xf>
    <xf numFmtId="0" fontId="26" fillId="3" borderId="10" xfId="0" applyFont="1" applyFill="1" applyBorder="1" applyAlignment="1" applyProtection="1">
      <alignment vertical="center"/>
      <protection locked="0"/>
    </xf>
    <xf numFmtId="0" fontId="26" fillId="0" borderId="13" xfId="0" applyFont="1" applyBorder="1" applyAlignment="1" applyProtection="1">
      <alignment horizontal="center" vertical="center" wrapText="1"/>
      <protection locked="0"/>
    </xf>
    <xf numFmtId="0" fontId="26" fillId="0" borderId="13" xfId="0" applyFont="1" applyBorder="1" applyAlignment="1" applyProtection="1">
      <alignment horizontal="center" vertical="center" wrapText="1"/>
      <protection locked="0"/>
    </xf>
    <xf numFmtId="0" fontId="26" fillId="3" borderId="0" xfId="0" applyFont="1" applyFill="1" applyAlignment="1" applyProtection="1">
      <alignment horizontal="center" vertical="center"/>
      <protection locked="0"/>
    </xf>
    <xf numFmtId="0" fontId="26" fillId="3" borderId="0" xfId="0" applyFont="1" applyFill="1" applyAlignment="1" applyProtection="1">
      <alignment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vertical="center"/>
      <protection locked="0"/>
    </xf>
    <xf numFmtId="0" fontId="26" fillId="0" borderId="40" xfId="0" applyFont="1" applyBorder="1" applyAlignment="1" applyProtection="1">
      <alignment horizontal="center" vertical="center" wrapText="1"/>
      <protection locked="0"/>
    </xf>
    <xf numFmtId="0" fontId="26" fillId="0" borderId="40" xfId="0" applyFont="1" applyBorder="1" applyAlignment="1" applyProtection="1">
      <alignment horizontal="center" vertical="center" wrapText="1"/>
      <protection locked="0"/>
    </xf>
    <xf numFmtId="0" fontId="45" fillId="0" borderId="13" xfId="0" applyFont="1" applyBorder="1" applyAlignment="1" applyProtection="1">
      <alignment horizontal="center" vertical="center"/>
      <protection locked="0"/>
    </xf>
    <xf numFmtId="165" fontId="46" fillId="2" borderId="13" xfId="0" quotePrefix="1" applyNumberFormat="1" applyFont="1" applyFill="1" applyBorder="1" applyAlignment="1" applyProtection="1">
      <alignment horizontal="center" vertical="center"/>
      <protection locked="0"/>
    </xf>
    <xf numFmtId="0" fontId="45" fillId="0" borderId="13" xfId="0" applyFont="1" applyBorder="1" applyAlignment="1" applyProtection="1">
      <alignment vertical="center"/>
      <protection locked="0"/>
    </xf>
    <xf numFmtId="0" fontId="25" fillId="0" borderId="13" xfId="0" applyFont="1" applyBorder="1" applyAlignment="1" applyProtection="1">
      <alignment vertical="center" wrapText="1"/>
      <protection locked="0"/>
    </xf>
    <xf numFmtId="0" fontId="28" fillId="0" borderId="0" xfId="0" applyFont="1" applyAlignment="1" applyProtection="1">
      <alignment horizontal="left" vertical="center"/>
      <protection locked="0"/>
    </xf>
    <xf numFmtId="0" fontId="47" fillId="0" borderId="0" xfId="0" applyFont="1" applyAlignment="1" applyProtection="1">
      <alignment vertical="center"/>
      <protection locked="0"/>
    </xf>
    <xf numFmtId="166" fontId="12" fillId="0" borderId="0" xfId="1" applyNumberFormat="1" applyFont="1" applyAlignment="1" applyProtection="1">
      <alignment horizontal="righ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 wrapText="1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166" fontId="34" fillId="0" borderId="13" xfId="1" applyNumberFormat="1" applyFont="1" applyBorder="1" applyAlignment="1" applyProtection="1">
      <alignment horizontal="center" vertical="center" wrapText="1"/>
      <protection locked="0"/>
    </xf>
    <xf numFmtId="164" fontId="5" fillId="0" borderId="0" xfId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49" fontId="22" fillId="0" borderId="13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Protection="1">
      <protection locked="0"/>
    </xf>
    <xf numFmtId="0" fontId="5" fillId="2" borderId="0" xfId="0" applyFont="1" applyFill="1" applyProtection="1">
      <protection locked="0"/>
    </xf>
    <xf numFmtId="0" fontId="24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166" fontId="48" fillId="0" borderId="0" xfId="0" applyNumberFormat="1" applyFont="1" applyAlignment="1" applyProtection="1">
      <alignment horizontal="right" vertical="center"/>
      <protection locked="0"/>
    </xf>
    <xf numFmtId="0" fontId="48" fillId="0" borderId="0" xfId="0" applyFont="1" applyAlignment="1" applyProtection="1">
      <alignment horizontal="center" vertical="center" wrapText="1"/>
      <protection locked="0"/>
    </xf>
    <xf numFmtId="166" fontId="48" fillId="0" borderId="0" xfId="1" applyNumberFormat="1" applyFont="1" applyAlignment="1" applyProtection="1">
      <alignment horizontal="right" vertical="center"/>
      <protection locked="0"/>
    </xf>
    <xf numFmtId="0" fontId="48" fillId="0" borderId="0" xfId="0" applyFont="1" applyAlignment="1" applyProtection="1">
      <alignment horizontal="center" vertical="center"/>
      <protection locked="0"/>
    </xf>
    <xf numFmtId="166" fontId="48" fillId="0" borderId="0" xfId="1" applyNumberFormat="1" applyFont="1" applyBorder="1" applyAlignment="1" applyProtection="1">
      <alignment horizontal="right" vertical="center"/>
      <protection locked="0"/>
    </xf>
  </cellXfs>
  <cellStyles count="6">
    <cellStyle name="Currency" xfId="1" builtinId="4"/>
    <cellStyle name="Currency 2" xfId="2" xr:uid="{00000000-0005-0000-0000-000001000000}"/>
    <cellStyle name="Currency 2 2" xfId="5" xr:uid="{2EE6199F-0BEB-42A7-95E8-0EE91B6CD5DF}"/>
    <cellStyle name="Hyperlink" xfId="3" builtinId="8"/>
    <cellStyle name="Normal" xfId="0" builtinId="0"/>
    <cellStyle name="Normal 2 2" xfId="4" xr:uid="{D88542FA-9BFF-4CE8-8998-80D4513C5A82}"/>
  </cellStyles>
  <dxfs count="280"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7C6F3"/>
        </patternFill>
      </fill>
    </dxf>
  </dxfs>
  <tableStyles count="0" defaultTableStyle="TableStyleMedium2" defaultPivotStyle="PivotStyleLight16"/>
  <colors>
    <mruColors>
      <color rgb="FFFFFFFF"/>
      <color rgb="FFF7C6F3"/>
      <color rgb="FFCCECFF"/>
      <color rgb="FF68F7F7"/>
      <color rgb="FFFFFFCC"/>
      <color rgb="FFCCCCFF"/>
      <color rgb="FFF03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91063</xdr:colOff>
      <xdr:row>0</xdr:row>
      <xdr:rowOff>48272</xdr:rowOff>
    </xdr:from>
    <xdr:to>
      <xdr:col>8</xdr:col>
      <xdr:colOff>519570</xdr:colOff>
      <xdr:row>1</xdr:row>
      <xdr:rowOff>241789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D8830D5A-D97F-4028-817C-EFE2B7F2D356}"/>
            </a:ext>
            <a:ext uri="{147F2762-F138-4A5C-976F-8EAC2B608ADB}">
              <a16:predDERef xmlns:a16="http://schemas.microsoft.com/office/drawing/2014/main" pred="{7E25AB2F-CD33-E1B6-2CE9-009BC070F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6640" y="48272"/>
          <a:ext cx="802180" cy="552536"/>
        </a:xfrm>
        <a:prstGeom prst="rect">
          <a:avLst/>
        </a:prstGeom>
      </xdr:spPr>
    </xdr:pic>
    <xdr:clientData/>
  </xdr:twoCellAnchor>
  <xdr:twoCellAnchor editAs="oneCell">
    <xdr:from>
      <xdr:col>9</xdr:col>
      <xdr:colOff>54165</xdr:colOff>
      <xdr:row>0</xdr:row>
      <xdr:rowOff>88274</xdr:rowOff>
    </xdr:from>
    <xdr:to>
      <xdr:col>9</xdr:col>
      <xdr:colOff>1015238</xdr:colOff>
      <xdr:row>1</xdr:row>
      <xdr:rowOff>190501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7C3E45-E6DC-41E2-9DB7-04D071E613E9}"/>
            </a:ext>
            <a:ext uri="{147F2762-F138-4A5C-976F-8EAC2B608ADB}">
              <a16:predDERef xmlns:a16="http://schemas.microsoft.com/office/drawing/2014/main" pred="{D8830D5A-D97F-4028-817C-EFE2B7F2D3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595" b="-1"/>
        <a:stretch/>
      </xdr:blipFill>
      <xdr:spPr>
        <a:xfrm>
          <a:off x="6062242" y="88274"/>
          <a:ext cx="961073" cy="46124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holesale.ecofarms.com.au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G389"/>
  <sheetViews>
    <sheetView tabSelected="1" view="pageBreakPreview" zoomScale="130" zoomScaleNormal="110" zoomScaleSheetLayoutView="130" workbookViewId="0">
      <selection activeCell="F268" sqref="F268"/>
    </sheetView>
  </sheetViews>
  <sheetFormatPr defaultColWidth="9.140625" defaultRowHeight="17.25" customHeight="1" x14ac:dyDescent="0.35"/>
  <cols>
    <col min="1" max="1" width="23.140625" style="10" customWidth="1"/>
    <col min="2" max="2" width="3" style="11" customWidth="1"/>
    <col min="3" max="3" width="5.140625" style="12" customWidth="1"/>
    <col min="4" max="4" width="11.85546875" style="2" customWidth="1"/>
    <col min="5" max="5" width="16.140625" style="13" customWidth="1"/>
    <col min="6" max="6" width="10.85546875" style="145" customWidth="1"/>
    <col min="7" max="7" width="5.5703125" style="12" customWidth="1"/>
    <col min="8" max="8" width="5.5703125" style="1" customWidth="1"/>
    <col min="9" max="9" width="8.7109375" style="22" customWidth="1"/>
    <col min="10" max="10" width="16" style="11" customWidth="1"/>
    <col min="11" max="11" width="10.42578125" style="17" customWidth="1"/>
    <col min="12" max="12" width="2.42578125" style="1" customWidth="1"/>
    <col min="13" max="39" width="2.140625" style="1" customWidth="1"/>
    <col min="40" max="49" width="9.140625" style="1" customWidth="1"/>
    <col min="50" max="50" width="9.140625" style="1" bestFit="1"/>
    <col min="51" max="16384" width="9.140625" style="1"/>
  </cols>
  <sheetData>
    <row r="1" spans="1:81" ht="29.1" customHeight="1" x14ac:dyDescent="0.35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6"/>
    </row>
    <row r="2" spans="1:81" ht="27" customHeight="1" thickBot="1" x14ac:dyDescent="0.4">
      <c r="A2" s="205" t="s">
        <v>1</v>
      </c>
      <c r="B2" s="205"/>
      <c r="C2" s="205"/>
      <c r="D2" s="205"/>
      <c r="E2" s="205"/>
      <c r="F2" s="205"/>
      <c r="G2" s="205"/>
      <c r="H2" s="205"/>
      <c r="I2" s="205"/>
      <c r="J2" s="205"/>
      <c r="K2" s="26" t="s">
        <v>2</v>
      </c>
      <c r="L2" s="114"/>
      <c r="M2" s="114"/>
    </row>
    <row r="3" spans="1:81" ht="17.25" customHeight="1" thickBot="1" x14ac:dyDescent="0.4">
      <c r="A3" s="167" t="s">
        <v>3</v>
      </c>
      <c r="B3" s="168"/>
      <c r="C3" s="168"/>
      <c r="D3" s="168"/>
      <c r="E3" s="168"/>
      <c r="F3" s="168"/>
      <c r="G3" s="168"/>
      <c r="H3" s="169"/>
      <c r="I3" s="173" t="s">
        <v>4</v>
      </c>
      <c r="J3" s="173"/>
      <c r="K3" s="26" t="s">
        <v>2</v>
      </c>
      <c r="L3" s="114"/>
      <c r="M3" s="114"/>
    </row>
    <row r="4" spans="1:81" ht="17.25" customHeight="1" thickBot="1" x14ac:dyDescent="0.4">
      <c r="A4" s="170"/>
      <c r="B4" s="171"/>
      <c r="C4" s="171"/>
      <c r="D4" s="171"/>
      <c r="E4" s="171"/>
      <c r="F4" s="171"/>
      <c r="G4" s="171"/>
      <c r="H4" s="172"/>
      <c r="I4" s="173"/>
      <c r="J4" s="173"/>
      <c r="K4" s="26" t="s">
        <v>2</v>
      </c>
      <c r="L4" s="114"/>
      <c r="M4" s="114"/>
    </row>
    <row r="5" spans="1:81" ht="17.25" customHeight="1" thickBot="1" x14ac:dyDescent="0.4">
      <c r="A5" s="174" t="s">
        <v>5</v>
      </c>
      <c r="B5" s="175"/>
      <c r="C5" s="175"/>
      <c r="D5" s="175"/>
      <c r="E5" s="175"/>
      <c r="F5" s="175"/>
      <c r="G5" s="175"/>
      <c r="H5" s="176"/>
      <c r="I5" s="221" t="s">
        <v>6</v>
      </c>
      <c r="J5" s="222" t="s">
        <v>7</v>
      </c>
      <c r="K5" s="26" t="s">
        <v>2</v>
      </c>
      <c r="L5" s="114"/>
      <c r="M5" s="114"/>
    </row>
    <row r="6" spans="1:81" ht="17.25" customHeight="1" thickBot="1" x14ac:dyDescent="0.4">
      <c r="A6" s="177"/>
      <c r="B6" s="178"/>
      <c r="C6" s="178"/>
      <c r="D6" s="178"/>
      <c r="E6" s="178"/>
      <c r="F6" s="178"/>
      <c r="G6" s="178"/>
      <c r="H6" s="179"/>
      <c r="I6" s="223" t="s">
        <v>8</v>
      </c>
      <c r="J6" s="224" t="s">
        <v>9</v>
      </c>
      <c r="K6" s="26" t="s">
        <v>2</v>
      </c>
      <c r="L6" s="115"/>
      <c r="M6" s="28"/>
      <c r="N6" s="28"/>
    </row>
    <row r="7" spans="1:81" ht="17.25" customHeight="1" thickBot="1" x14ac:dyDescent="0.4">
      <c r="A7" s="180" t="s">
        <v>10</v>
      </c>
      <c r="B7" s="181"/>
      <c r="C7" s="181"/>
      <c r="D7" s="181"/>
      <c r="E7" s="181"/>
      <c r="F7" s="181"/>
      <c r="G7" s="181"/>
      <c r="H7" s="184"/>
      <c r="I7" s="225" t="s">
        <v>11</v>
      </c>
      <c r="J7" s="222" t="s">
        <v>12</v>
      </c>
      <c r="K7" s="18" t="s">
        <v>2</v>
      </c>
      <c r="L7" s="1" t="s">
        <v>13</v>
      </c>
    </row>
    <row r="8" spans="1:81" ht="17.25" customHeight="1" thickBot="1" x14ac:dyDescent="0.4">
      <c r="A8" s="182"/>
      <c r="B8" s="183"/>
      <c r="C8" s="183"/>
      <c r="D8" s="183"/>
      <c r="E8" s="183"/>
      <c r="F8" s="183"/>
      <c r="G8" s="183"/>
      <c r="H8" s="185"/>
      <c r="I8" s="207"/>
      <c r="J8" s="208"/>
      <c r="K8" s="18" t="s">
        <v>2</v>
      </c>
    </row>
    <row r="9" spans="1:81" ht="15" customHeight="1" x14ac:dyDescent="0.35">
      <c r="A9" s="89" t="s">
        <v>14</v>
      </c>
      <c r="B9" s="90"/>
      <c r="C9" s="90"/>
      <c r="D9" s="132"/>
      <c r="E9" s="89"/>
      <c r="F9" s="140"/>
      <c r="G9" s="89"/>
      <c r="H9" s="30"/>
      <c r="I9" s="29"/>
      <c r="J9" s="27"/>
      <c r="K9" s="18" t="s">
        <v>2</v>
      </c>
      <c r="M9" s="116"/>
    </row>
    <row r="10" spans="1:81" ht="18.95" customHeight="1" x14ac:dyDescent="0.35">
      <c r="A10" s="31"/>
      <c r="B10" s="32"/>
      <c r="C10" s="32"/>
      <c r="D10" s="133"/>
      <c r="E10" s="32" t="s">
        <v>15</v>
      </c>
      <c r="F10" s="141"/>
      <c r="G10" s="69"/>
      <c r="H10" s="14"/>
      <c r="I10" s="33"/>
      <c r="J10" s="34"/>
      <c r="K10" s="18" t="s">
        <v>2</v>
      </c>
    </row>
    <row r="11" spans="1:81" s="2" customFormat="1" ht="28.5" customHeight="1" x14ac:dyDescent="0.15">
      <c r="A11" s="24" t="s">
        <v>16</v>
      </c>
      <c r="B11" s="152" t="s">
        <v>17</v>
      </c>
      <c r="C11" s="152"/>
      <c r="D11" s="24" t="s">
        <v>18</v>
      </c>
      <c r="E11" s="38" t="s">
        <v>19</v>
      </c>
      <c r="F11" s="102" t="s">
        <v>20</v>
      </c>
      <c r="G11" s="38" t="s">
        <v>21</v>
      </c>
      <c r="H11" s="24" t="s">
        <v>22</v>
      </c>
      <c r="I11" s="39" t="s">
        <v>23</v>
      </c>
      <c r="J11" s="24" t="s">
        <v>24</v>
      </c>
      <c r="K11" s="18" t="s">
        <v>2</v>
      </c>
    </row>
    <row r="12" spans="1:81" s="215" customFormat="1" ht="21" customHeight="1" x14ac:dyDescent="0.25">
      <c r="A12" s="40" t="s">
        <v>104</v>
      </c>
      <c r="B12" s="186" t="s">
        <v>28</v>
      </c>
      <c r="C12" s="186" t="s">
        <v>105</v>
      </c>
      <c r="D12" s="187" t="s">
        <v>106</v>
      </c>
      <c r="E12" s="23" t="s">
        <v>107</v>
      </c>
      <c r="F12" s="209"/>
      <c r="G12" s="210"/>
      <c r="H12" s="211"/>
      <c r="I12" s="212">
        <v>39</v>
      </c>
      <c r="J12" s="81" t="s">
        <v>25</v>
      </c>
      <c r="K12" s="213">
        <f t="shared" ref="K12:K14" si="0">G12*I12</f>
        <v>0</v>
      </c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4"/>
      <c r="BF12" s="214"/>
      <c r="BG12" s="214"/>
      <c r="BH12" s="214"/>
      <c r="BI12" s="214"/>
      <c r="BJ12" s="214"/>
      <c r="BK12" s="214"/>
      <c r="BL12" s="214"/>
      <c r="BM12" s="214"/>
      <c r="BN12" s="214"/>
      <c r="BO12" s="214"/>
      <c r="BP12" s="214"/>
      <c r="BQ12" s="214"/>
      <c r="BR12" s="214"/>
      <c r="BS12" s="214"/>
      <c r="BT12" s="214"/>
      <c r="BU12" s="214"/>
      <c r="BV12" s="214"/>
      <c r="BW12" s="214"/>
      <c r="BX12" s="214"/>
      <c r="BY12" s="214"/>
      <c r="BZ12" s="214"/>
      <c r="CA12" s="214"/>
    </row>
    <row r="13" spans="1:81" s="215" customFormat="1" ht="21" customHeight="1" x14ac:dyDescent="0.25">
      <c r="A13" s="117" t="s">
        <v>115</v>
      </c>
      <c r="B13" s="186" t="s">
        <v>28</v>
      </c>
      <c r="C13" s="186" t="s">
        <v>105</v>
      </c>
      <c r="D13" s="187" t="s">
        <v>71</v>
      </c>
      <c r="E13" s="23" t="s">
        <v>116</v>
      </c>
      <c r="F13" s="209"/>
      <c r="G13" s="210"/>
      <c r="H13" s="211"/>
      <c r="I13" s="212">
        <v>24</v>
      </c>
      <c r="J13" s="81" t="s">
        <v>25</v>
      </c>
      <c r="K13" s="213">
        <f t="shared" si="0"/>
        <v>0</v>
      </c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4"/>
      <c r="AX13" s="214"/>
      <c r="AY13" s="214"/>
      <c r="AZ13" s="214"/>
      <c r="BA13" s="214"/>
      <c r="BB13" s="214"/>
      <c r="BC13" s="214"/>
      <c r="BD13" s="214"/>
      <c r="BE13" s="214"/>
      <c r="BF13" s="214"/>
      <c r="BG13" s="214"/>
      <c r="BH13" s="214"/>
      <c r="BI13" s="214"/>
      <c r="BJ13" s="214"/>
      <c r="BK13" s="214"/>
      <c r="BL13" s="214"/>
      <c r="BM13" s="214"/>
      <c r="BN13" s="214"/>
      <c r="BO13" s="214"/>
      <c r="BP13" s="214"/>
      <c r="BQ13" s="214"/>
      <c r="BR13" s="214"/>
      <c r="BS13" s="214"/>
      <c r="BT13" s="214"/>
      <c r="BU13" s="214"/>
      <c r="BV13" s="214"/>
      <c r="BW13" s="214"/>
      <c r="BX13" s="214"/>
      <c r="BY13" s="214"/>
      <c r="BZ13" s="214"/>
      <c r="CA13" s="214"/>
    </row>
    <row r="14" spans="1:81" s="215" customFormat="1" ht="21" customHeight="1" x14ac:dyDescent="0.25">
      <c r="A14" s="36" t="s">
        <v>264</v>
      </c>
      <c r="B14" s="188" t="s">
        <v>187</v>
      </c>
      <c r="C14" s="188" t="s">
        <v>84</v>
      </c>
      <c r="D14" s="146" t="s">
        <v>118</v>
      </c>
      <c r="E14" s="23" t="s">
        <v>265</v>
      </c>
      <c r="F14" s="216"/>
      <c r="G14" s="210"/>
      <c r="H14" s="211"/>
      <c r="I14" s="37">
        <v>47</v>
      </c>
      <c r="J14" s="81" t="s">
        <v>266</v>
      </c>
      <c r="K14" s="213">
        <f t="shared" si="0"/>
        <v>0</v>
      </c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4"/>
      <c r="BK14" s="214"/>
      <c r="BL14" s="214"/>
      <c r="BM14" s="214"/>
      <c r="BN14" s="214"/>
      <c r="BO14" s="214"/>
      <c r="BP14" s="214"/>
      <c r="BQ14" s="214"/>
      <c r="BR14" s="214"/>
      <c r="BS14" s="214"/>
      <c r="BT14" s="214"/>
      <c r="BU14" s="214"/>
      <c r="BV14" s="214"/>
      <c r="BW14" s="214"/>
      <c r="BX14" s="214"/>
      <c r="BY14" s="214"/>
      <c r="BZ14" s="214"/>
      <c r="CA14" s="214"/>
    </row>
    <row r="15" spans="1:81" s="215" customFormat="1" ht="21" customHeight="1" x14ac:dyDescent="0.25">
      <c r="A15" s="40" t="s">
        <v>292</v>
      </c>
      <c r="B15" s="188" t="s">
        <v>28</v>
      </c>
      <c r="C15" s="188" t="s">
        <v>131</v>
      </c>
      <c r="D15" s="146" t="s">
        <v>293</v>
      </c>
      <c r="E15" s="23" t="s">
        <v>294</v>
      </c>
      <c r="F15" s="216"/>
      <c r="G15" s="210"/>
      <c r="H15" s="211"/>
      <c r="I15" s="37">
        <v>53</v>
      </c>
      <c r="J15" s="81" t="s">
        <v>25</v>
      </c>
      <c r="K15" s="213">
        <f>G15*I15</f>
        <v>0</v>
      </c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17"/>
      <c r="BJ15" s="217"/>
      <c r="BK15" s="217"/>
      <c r="BL15" s="217"/>
      <c r="BM15" s="217"/>
      <c r="BN15" s="217"/>
      <c r="BO15" s="217"/>
      <c r="BP15" s="217"/>
      <c r="BQ15" s="217"/>
      <c r="BR15" s="217"/>
      <c r="BS15" s="217"/>
      <c r="BT15" s="217"/>
      <c r="BU15" s="217"/>
      <c r="BV15" s="217"/>
      <c r="BW15" s="217"/>
      <c r="BX15" s="217"/>
      <c r="BY15" s="217"/>
      <c r="BZ15" s="217"/>
      <c r="CA15" s="217"/>
      <c r="CB15" s="218"/>
      <c r="CC15" s="218"/>
    </row>
    <row r="16" spans="1:81" s="215" customFormat="1" ht="21" customHeight="1" x14ac:dyDescent="0.25">
      <c r="A16" s="40" t="s">
        <v>295</v>
      </c>
      <c r="B16" s="188" t="s">
        <v>28</v>
      </c>
      <c r="C16" s="188" t="s">
        <v>131</v>
      </c>
      <c r="D16" s="146" t="s">
        <v>296</v>
      </c>
      <c r="E16" s="23" t="s">
        <v>297</v>
      </c>
      <c r="F16" s="216"/>
      <c r="G16" s="210"/>
      <c r="H16" s="211"/>
      <c r="I16" s="37">
        <v>53</v>
      </c>
      <c r="J16" s="81" t="s">
        <v>25</v>
      </c>
      <c r="K16" s="213">
        <f t="shared" ref="K16" si="1">G16*I16</f>
        <v>0</v>
      </c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4"/>
      <c r="BA16" s="214"/>
      <c r="BB16" s="214"/>
      <c r="BC16" s="214"/>
      <c r="BD16" s="214"/>
      <c r="BE16" s="214"/>
      <c r="BF16" s="214"/>
      <c r="BG16" s="214"/>
      <c r="BH16" s="214"/>
      <c r="BI16" s="214"/>
      <c r="BJ16" s="214"/>
      <c r="BK16" s="214"/>
      <c r="BL16" s="214"/>
      <c r="BM16" s="214"/>
      <c r="BN16" s="214"/>
      <c r="BO16" s="214"/>
      <c r="BP16" s="214"/>
      <c r="BQ16" s="214"/>
      <c r="BR16" s="214"/>
      <c r="BS16" s="214"/>
      <c r="BT16" s="214"/>
      <c r="BU16" s="214"/>
      <c r="BV16" s="214"/>
      <c r="BW16" s="214"/>
      <c r="BX16" s="214"/>
      <c r="BY16" s="214"/>
      <c r="BZ16" s="214"/>
      <c r="CA16" s="214"/>
    </row>
    <row r="17" spans="1:79" s="215" customFormat="1" ht="21" customHeight="1" x14ac:dyDescent="0.25">
      <c r="A17" s="84" t="s">
        <v>326</v>
      </c>
      <c r="B17" s="189" t="s">
        <v>241</v>
      </c>
      <c r="C17" s="189" t="s">
        <v>327</v>
      </c>
      <c r="D17" s="190" t="s">
        <v>293</v>
      </c>
      <c r="E17" s="84" t="s">
        <v>328</v>
      </c>
      <c r="F17" s="219"/>
      <c r="G17" s="220"/>
      <c r="H17" s="220"/>
      <c r="I17" s="91">
        <v>3.3</v>
      </c>
      <c r="J17" s="81" t="s">
        <v>25</v>
      </c>
      <c r="K17" s="213">
        <f>G17*I17</f>
        <v>0</v>
      </c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4"/>
      <c r="BA17" s="214"/>
      <c r="BB17" s="214"/>
      <c r="BC17" s="214"/>
      <c r="BD17" s="214"/>
      <c r="BE17" s="214"/>
      <c r="BF17" s="214"/>
      <c r="BG17" s="214"/>
      <c r="BH17" s="214"/>
      <c r="BI17" s="214"/>
      <c r="BJ17" s="214"/>
      <c r="BK17" s="214"/>
      <c r="BL17" s="214"/>
      <c r="BM17" s="214"/>
      <c r="BN17" s="214"/>
      <c r="BO17" s="214"/>
      <c r="BP17" s="214"/>
      <c r="BQ17" s="214"/>
      <c r="BR17" s="214"/>
      <c r="BS17" s="214"/>
      <c r="BT17" s="214"/>
      <c r="BU17" s="214"/>
      <c r="BV17" s="214"/>
      <c r="BW17" s="214"/>
      <c r="BX17" s="214"/>
      <c r="BY17" s="214"/>
      <c r="BZ17" s="214"/>
      <c r="CA17" s="214"/>
    </row>
    <row r="18" spans="1:79" s="215" customFormat="1" ht="21" customHeight="1" x14ac:dyDescent="0.25">
      <c r="A18" s="84" t="s">
        <v>338</v>
      </c>
      <c r="B18" s="189" t="s">
        <v>45</v>
      </c>
      <c r="C18" s="189" t="s">
        <v>46</v>
      </c>
      <c r="D18" s="190" t="s">
        <v>339</v>
      </c>
      <c r="E18" s="84" t="s">
        <v>340</v>
      </c>
      <c r="F18" s="219"/>
      <c r="G18" s="220"/>
      <c r="H18" s="220"/>
      <c r="I18" s="91">
        <v>23</v>
      </c>
      <c r="J18" s="81" t="s">
        <v>25</v>
      </c>
      <c r="K18" s="213">
        <f t="shared" ref="K18" si="2">G18*I18</f>
        <v>0</v>
      </c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  <c r="AM18" s="214"/>
      <c r="AN18" s="214"/>
      <c r="AO18" s="214"/>
      <c r="AP18" s="214"/>
      <c r="AQ18" s="214"/>
      <c r="AR18" s="214"/>
      <c r="AS18" s="214"/>
      <c r="AT18" s="214"/>
      <c r="AU18" s="214"/>
      <c r="AV18" s="214"/>
      <c r="AW18" s="214"/>
      <c r="AX18" s="214"/>
      <c r="AY18" s="214"/>
      <c r="AZ18" s="214"/>
      <c r="BA18" s="214"/>
      <c r="BB18" s="214"/>
      <c r="BC18" s="214"/>
      <c r="BD18" s="214"/>
      <c r="BE18" s="214"/>
      <c r="BF18" s="214"/>
      <c r="BG18" s="214"/>
      <c r="BH18" s="214"/>
      <c r="BI18" s="214"/>
      <c r="BJ18" s="214"/>
      <c r="BK18" s="214"/>
      <c r="BL18" s="214"/>
      <c r="BM18" s="214"/>
      <c r="BN18" s="214"/>
      <c r="BO18" s="214"/>
      <c r="BP18" s="214"/>
      <c r="BQ18" s="214"/>
      <c r="BR18" s="214"/>
      <c r="BS18" s="214"/>
      <c r="BT18" s="214"/>
      <c r="BU18" s="214"/>
      <c r="BV18" s="214"/>
      <c r="BW18" s="214"/>
      <c r="BX18" s="214"/>
      <c r="BY18" s="214"/>
      <c r="BZ18" s="214"/>
      <c r="CA18" s="214"/>
    </row>
    <row r="19" spans="1:79" ht="18.95" customHeight="1" x14ac:dyDescent="0.35">
      <c r="A19" s="31"/>
      <c r="B19" s="32"/>
      <c r="C19" s="32"/>
      <c r="D19" s="133"/>
      <c r="E19" s="32" t="s">
        <v>26</v>
      </c>
      <c r="F19" s="141"/>
      <c r="G19" s="69"/>
      <c r="H19" s="14"/>
      <c r="I19" s="33"/>
      <c r="J19" s="34"/>
      <c r="K19" s="18" t="s">
        <v>2</v>
      </c>
    </row>
    <row r="20" spans="1:79" s="2" customFormat="1" ht="24.75" customHeight="1" x14ac:dyDescent="0.15">
      <c r="A20" s="122" t="s">
        <v>16</v>
      </c>
      <c r="B20" s="166" t="s">
        <v>17</v>
      </c>
      <c r="C20" s="166"/>
      <c r="D20" s="122" t="s">
        <v>18</v>
      </c>
      <c r="E20" s="123" t="s">
        <v>19</v>
      </c>
      <c r="F20" s="148" t="s">
        <v>20</v>
      </c>
      <c r="G20" s="123" t="s">
        <v>21</v>
      </c>
      <c r="H20" s="122" t="s">
        <v>22</v>
      </c>
      <c r="I20" s="124" t="s">
        <v>23</v>
      </c>
      <c r="J20" s="122" t="s">
        <v>24</v>
      </c>
      <c r="K20" s="72" t="s">
        <v>2</v>
      </c>
    </row>
    <row r="21" spans="1:79" s="215" customFormat="1" ht="21" customHeight="1" x14ac:dyDescent="0.25">
      <c r="A21" s="117" t="s">
        <v>781</v>
      </c>
      <c r="B21" s="186" t="s">
        <v>639</v>
      </c>
      <c r="C21" s="186" t="s">
        <v>747</v>
      </c>
      <c r="D21" s="187" t="s">
        <v>649</v>
      </c>
      <c r="E21" s="23" t="s">
        <v>782</v>
      </c>
      <c r="F21" s="209"/>
      <c r="G21" s="210"/>
      <c r="H21" s="211"/>
      <c r="I21" s="212">
        <v>22.5</v>
      </c>
      <c r="J21" s="81" t="s">
        <v>25</v>
      </c>
      <c r="K21" s="213">
        <f t="shared" ref="K21:K25" si="3">G21*I21</f>
        <v>0</v>
      </c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4"/>
      <c r="AY21" s="214"/>
      <c r="AZ21" s="214"/>
      <c r="BA21" s="214"/>
      <c r="BB21" s="214"/>
      <c r="BC21" s="214"/>
      <c r="BD21" s="214"/>
      <c r="BE21" s="214"/>
      <c r="BF21" s="214"/>
      <c r="BG21" s="214"/>
      <c r="BH21" s="214"/>
      <c r="BI21" s="214"/>
      <c r="BJ21" s="214"/>
      <c r="BK21" s="214"/>
      <c r="BL21" s="214"/>
      <c r="BM21" s="214"/>
      <c r="BN21" s="214"/>
      <c r="BO21" s="214"/>
      <c r="BP21" s="214"/>
      <c r="BQ21" s="214"/>
      <c r="BR21" s="214"/>
      <c r="BS21" s="214"/>
      <c r="BT21" s="214"/>
      <c r="BU21" s="214"/>
      <c r="BV21" s="214"/>
      <c r="BW21" s="214"/>
      <c r="BX21" s="214"/>
      <c r="BY21" s="214"/>
      <c r="BZ21" s="214"/>
      <c r="CA21" s="214"/>
    </row>
    <row r="22" spans="1:79" s="215" customFormat="1" ht="21" customHeight="1" x14ac:dyDescent="0.25">
      <c r="A22" s="117" t="s">
        <v>783</v>
      </c>
      <c r="B22" s="186" t="s">
        <v>639</v>
      </c>
      <c r="C22" s="186" t="s">
        <v>747</v>
      </c>
      <c r="D22" s="187" t="s">
        <v>649</v>
      </c>
      <c r="E22" s="23" t="s">
        <v>784</v>
      </c>
      <c r="F22" s="209"/>
      <c r="G22" s="210"/>
      <c r="H22" s="211"/>
      <c r="I22" s="212">
        <v>22.5</v>
      </c>
      <c r="J22" s="81" t="s">
        <v>25</v>
      </c>
      <c r="K22" s="213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  <c r="AK22" s="214"/>
      <c r="AL22" s="214"/>
      <c r="AM22" s="214"/>
      <c r="AN22" s="214"/>
      <c r="AO22" s="214"/>
      <c r="AP22" s="214"/>
      <c r="AQ22" s="214"/>
      <c r="AR22" s="214"/>
      <c r="AS22" s="214"/>
      <c r="AT22" s="214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14"/>
      <c r="BG22" s="214"/>
      <c r="BH22" s="214"/>
      <c r="BI22" s="214"/>
      <c r="BJ22" s="214"/>
      <c r="BK22" s="214"/>
      <c r="BL22" s="214"/>
      <c r="BM22" s="214"/>
      <c r="BN22" s="214"/>
      <c r="BO22" s="214"/>
      <c r="BP22" s="214"/>
      <c r="BQ22" s="214"/>
      <c r="BR22" s="214"/>
      <c r="BS22" s="214"/>
      <c r="BT22" s="214"/>
      <c r="BU22" s="214"/>
      <c r="BV22" s="214"/>
      <c r="BW22" s="214"/>
      <c r="BX22" s="214"/>
      <c r="BY22" s="214"/>
      <c r="BZ22" s="214"/>
      <c r="CA22" s="214"/>
    </row>
    <row r="23" spans="1:79" s="215" customFormat="1" ht="21" customHeight="1" x14ac:dyDescent="0.25">
      <c r="A23" s="117" t="s">
        <v>785</v>
      </c>
      <c r="B23" s="186" t="s">
        <v>639</v>
      </c>
      <c r="C23" s="186" t="s">
        <v>747</v>
      </c>
      <c r="D23" s="187" t="s">
        <v>649</v>
      </c>
      <c r="E23" s="23" t="s">
        <v>786</v>
      </c>
      <c r="F23" s="209"/>
      <c r="G23" s="210"/>
      <c r="H23" s="211"/>
      <c r="I23" s="212">
        <v>22.5</v>
      </c>
      <c r="J23" s="81" t="s">
        <v>25</v>
      </c>
      <c r="K23" s="213">
        <f t="shared" si="3"/>
        <v>0</v>
      </c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4"/>
      <c r="AT23" s="214"/>
      <c r="AU23" s="214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14"/>
      <c r="BG23" s="214"/>
      <c r="BH23" s="214"/>
      <c r="BI23" s="214"/>
      <c r="BJ23" s="214"/>
      <c r="BK23" s="214"/>
      <c r="BL23" s="214"/>
      <c r="BM23" s="214"/>
      <c r="BN23" s="214"/>
      <c r="BO23" s="214"/>
      <c r="BP23" s="214"/>
      <c r="BQ23" s="214"/>
      <c r="BR23" s="214"/>
      <c r="BS23" s="214"/>
      <c r="BT23" s="214"/>
      <c r="BU23" s="214"/>
      <c r="BV23" s="214"/>
      <c r="BW23" s="214"/>
      <c r="BX23" s="214"/>
      <c r="BY23" s="214"/>
      <c r="BZ23" s="214"/>
      <c r="CA23" s="214"/>
    </row>
    <row r="24" spans="1:79" s="215" customFormat="1" ht="21" customHeight="1" x14ac:dyDescent="0.25">
      <c r="A24" s="117" t="s">
        <v>787</v>
      </c>
      <c r="B24" s="186" t="s">
        <v>639</v>
      </c>
      <c r="C24" s="186" t="s">
        <v>747</v>
      </c>
      <c r="D24" s="187" t="s">
        <v>649</v>
      </c>
      <c r="E24" s="23" t="s">
        <v>788</v>
      </c>
      <c r="F24" s="209"/>
      <c r="G24" s="210"/>
      <c r="H24" s="211"/>
      <c r="I24" s="212">
        <v>22.5</v>
      </c>
      <c r="J24" s="81" t="s">
        <v>25</v>
      </c>
      <c r="K24" s="213">
        <f t="shared" si="3"/>
        <v>0</v>
      </c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4"/>
      <c r="AT24" s="214"/>
      <c r="AU24" s="214"/>
      <c r="AV24" s="214"/>
      <c r="AW24" s="214"/>
      <c r="AX24" s="214"/>
      <c r="AY24" s="214"/>
      <c r="AZ24" s="214"/>
      <c r="BA24" s="214"/>
      <c r="BB24" s="214"/>
      <c r="BC24" s="214"/>
      <c r="BD24" s="214"/>
      <c r="BE24" s="214"/>
      <c r="BF24" s="214"/>
      <c r="BG24" s="214"/>
      <c r="BH24" s="214"/>
      <c r="BI24" s="214"/>
      <c r="BJ24" s="214"/>
      <c r="BK24" s="214"/>
      <c r="BL24" s="214"/>
      <c r="BM24" s="214"/>
      <c r="BN24" s="214"/>
      <c r="BO24" s="214"/>
      <c r="BP24" s="214"/>
      <c r="BQ24" s="214"/>
      <c r="BR24" s="214"/>
      <c r="BS24" s="214"/>
      <c r="BT24" s="214"/>
      <c r="BU24" s="214"/>
      <c r="BV24" s="214"/>
      <c r="BW24" s="214"/>
      <c r="BX24" s="214"/>
      <c r="BY24" s="214"/>
      <c r="BZ24" s="214"/>
      <c r="CA24" s="214"/>
    </row>
    <row r="25" spans="1:79" ht="18.95" customHeight="1" x14ac:dyDescent="0.35">
      <c r="A25" s="149"/>
      <c r="B25" s="93"/>
      <c r="C25" s="93"/>
      <c r="D25" s="135"/>
      <c r="E25" s="93" t="s">
        <v>43</v>
      </c>
      <c r="F25" s="143"/>
      <c r="G25" s="95"/>
      <c r="H25" s="94"/>
      <c r="I25" s="150"/>
      <c r="J25" s="151"/>
      <c r="K25" s="72">
        <f t="shared" si="3"/>
        <v>0</v>
      </c>
    </row>
    <row r="26" spans="1:79" s="2" customFormat="1" ht="37.5" customHeight="1" x14ac:dyDescent="0.35">
      <c r="A26" s="24" t="s">
        <v>16</v>
      </c>
      <c r="B26" s="152" t="s">
        <v>17</v>
      </c>
      <c r="C26" s="152"/>
      <c r="D26" s="24" t="s">
        <v>18</v>
      </c>
      <c r="E26" s="38" t="s">
        <v>19</v>
      </c>
      <c r="F26" s="102" t="s">
        <v>20</v>
      </c>
      <c r="G26" s="38" t="s">
        <v>21</v>
      </c>
      <c r="H26" s="24" t="s">
        <v>22</v>
      </c>
      <c r="I26" s="39" t="s">
        <v>23</v>
      </c>
      <c r="J26" s="24" t="s">
        <v>24</v>
      </c>
      <c r="K26" s="72" t="s">
        <v>2</v>
      </c>
      <c r="R26" s="1"/>
    </row>
    <row r="27" spans="1:79" s="215" customFormat="1" ht="21" customHeight="1" x14ac:dyDescent="0.25">
      <c r="A27" s="117" t="s">
        <v>44</v>
      </c>
      <c r="B27" s="186" t="s">
        <v>45</v>
      </c>
      <c r="C27" s="186" t="s">
        <v>46</v>
      </c>
      <c r="D27" s="187" t="s">
        <v>47</v>
      </c>
      <c r="E27" s="23" t="s">
        <v>48</v>
      </c>
      <c r="F27" s="209"/>
      <c r="G27" s="210"/>
      <c r="H27" s="211"/>
      <c r="I27" s="212">
        <v>20</v>
      </c>
      <c r="J27" s="81"/>
      <c r="K27" s="213">
        <f>G27*I27</f>
        <v>0</v>
      </c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4"/>
      <c r="AX27" s="214"/>
      <c r="AY27" s="214"/>
      <c r="AZ27" s="214"/>
      <c r="BA27" s="214"/>
      <c r="BB27" s="214"/>
      <c r="BC27" s="214"/>
      <c r="BD27" s="214"/>
      <c r="BE27" s="214"/>
      <c r="BF27" s="214"/>
      <c r="BG27" s="214"/>
      <c r="BH27" s="214"/>
      <c r="BI27" s="214"/>
      <c r="BJ27" s="214"/>
      <c r="BK27" s="214"/>
      <c r="BL27" s="214"/>
      <c r="BM27" s="214"/>
      <c r="BN27" s="214"/>
      <c r="BO27" s="214"/>
      <c r="BP27" s="214"/>
      <c r="BQ27" s="214"/>
      <c r="BR27" s="214"/>
      <c r="BS27" s="214"/>
      <c r="BT27" s="214"/>
      <c r="BU27" s="214"/>
      <c r="BV27" s="214"/>
      <c r="BW27" s="214"/>
      <c r="BX27" s="214"/>
      <c r="BY27" s="214"/>
      <c r="BZ27" s="214"/>
      <c r="CA27" s="214"/>
    </row>
    <row r="28" spans="1:79" s="215" customFormat="1" ht="21" customHeight="1" x14ac:dyDescent="0.25">
      <c r="A28" s="117" t="s">
        <v>49</v>
      </c>
      <c r="B28" s="186" t="s">
        <v>50</v>
      </c>
      <c r="C28" s="186" t="s">
        <v>51</v>
      </c>
      <c r="D28" s="187" t="s">
        <v>1284</v>
      </c>
      <c r="E28" s="23" t="s">
        <v>1285</v>
      </c>
      <c r="F28" s="209"/>
      <c r="G28" s="210"/>
      <c r="H28" s="211"/>
      <c r="I28" s="212">
        <v>3</v>
      </c>
      <c r="J28" s="81" t="s">
        <v>52</v>
      </c>
      <c r="K28" s="213">
        <f t="shared" ref="K28" si="4">G28*I28</f>
        <v>0</v>
      </c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4"/>
      <c r="AT28" s="214"/>
      <c r="AU28" s="214"/>
      <c r="AV28" s="214"/>
      <c r="AW28" s="214"/>
      <c r="AX28" s="214"/>
      <c r="AY28" s="214"/>
      <c r="AZ28" s="214"/>
      <c r="BA28" s="214"/>
      <c r="BB28" s="214"/>
      <c r="BC28" s="214"/>
      <c r="BD28" s="214"/>
      <c r="BE28" s="214"/>
      <c r="BF28" s="214"/>
      <c r="BG28" s="214"/>
      <c r="BH28" s="214"/>
      <c r="BI28" s="214"/>
      <c r="BJ28" s="214"/>
      <c r="BK28" s="214"/>
      <c r="BL28" s="214"/>
      <c r="BM28" s="214"/>
      <c r="BN28" s="214"/>
      <c r="BO28" s="214"/>
      <c r="BP28" s="214"/>
      <c r="BQ28" s="214"/>
      <c r="BR28" s="214"/>
      <c r="BS28" s="214"/>
      <c r="BT28" s="214"/>
      <c r="BU28" s="214"/>
      <c r="BV28" s="214"/>
      <c r="BW28" s="214"/>
      <c r="BX28" s="214"/>
      <c r="BY28" s="214"/>
      <c r="BZ28" s="214"/>
      <c r="CA28" s="214"/>
    </row>
    <row r="29" spans="1:79" s="215" customFormat="1" ht="21" customHeight="1" x14ac:dyDescent="0.25">
      <c r="A29" s="117" t="s">
        <v>53</v>
      </c>
      <c r="B29" s="186" t="s">
        <v>50</v>
      </c>
      <c r="C29" s="186" t="s">
        <v>51</v>
      </c>
      <c r="D29" s="187" t="s">
        <v>1272</v>
      </c>
      <c r="E29" s="23" t="s">
        <v>55</v>
      </c>
      <c r="F29" s="209"/>
      <c r="G29" s="210"/>
      <c r="H29" s="211"/>
      <c r="I29" s="212">
        <v>3</v>
      </c>
      <c r="J29" s="81" t="s">
        <v>52</v>
      </c>
      <c r="K29" s="213">
        <f t="shared" ref="K29:K84" si="5">G29*I29</f>
        <v>0</v>
      </c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4"/>
      <c r="AX29" s="214"/>
      <c r="AY29" s="214"/>
      <c r="AZ29" s="214"/>
      <c r="BA29" s="214"/>
      <c r="BB29" s="214"/>
      <c r="BC29" s="214"/>
      <c r="BD29" s="214"/>
      <c r="BE29" s="214"/>
      <c r="BF29" s="214"/>
      <c r="BG29" s="214"/>
      <c r="BH29" s="214"/>
      <c r="BI29" s="214"/>
      <c r="BJ29" s="214"/>
      <c r="BK29" s="214"/>
      <c r="BL29" s="214"/>
      <c r="BM29" s="214"/>
      <c r="BN29" s="214"/>
      <c r="BO29" s="214"/>
      <c r="BP29" s="214"/>
      <c r="BQ29" s="214"/>
      <c r="BR29" s="214"/>
      <c r="BS29" s="214"/>
      <c r="BT29" s="214"/>
      <c r="BU29" s="214"/>
      <c r="BV29" s="214"/>
      <c r="BW29" s="214"/>
      <c r="BX29" s="214"/>
      <c r="BY29" s="214"/>
      <c r="BZ29" s="214"/>
      <c r="CA29" s="214"/>
    </row>
    <row r="30" spans="1:79" s="215" customFormat="1" ht="21" customHeight="1" x14ac:dyDescent="0.25">
      <c r="A30" s="117" t="s">
        <v>56</v>
      </c>
      <c r="B30" s="186" t="s">
        <v>45</v>
      </c>
      <c r="C30" s="186" t="s">
        <v>46</v>
      </c>
      <c r="D30" s="187" t="s">
        <v>57</v>
      </c>
      <c r="E30" s="23" t="s">
        <v>58</v>
      </c>
      <c r="F30" s="209"/>
      <c r="G30" s="210"/>
      <c r="H30" s="211"/>
      <c r="I30" s="212">
        <v>13.5</v>
      </c>
      <c r="J30" s="81" t="s">
        <v>59</v>
      </c>
      <c r="K30" s="213">
        <f t="shared" si="5"/>
        <v>0</v>
      </c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14"/>
      <c r="AP30" s="214"/>
      <c r="AQ30" s="214"/>
      <c r="AR30" s="214"/>
      <c r="AS30" s="214"/>
      <c r="AT30" s="214"/>
      <c r="AU30" s="214"/>
      <c r="AV30" s="214"/>
      <c r="AW30" s="214"/>
      <c r="AX30" s="214"/>
      <c r="AY30" s="214"/>
      <c r="AZ30" s="214"/>
      <c r="BA30" s="214"/>
      <c r="BB30" s="214"/>
      <c r="BC30" s="214"/>
      <c r="BD30" s="214"/>
      <c r="BE30" s="214"/>
      <c r="BF30" s="214"/>
      <c r="BG30" s="214"/>
      <c r="BH30" s="214"/>
      <c r="BI30" s="214"/>
      <c r="BJ30" s="214"/>
      <c r="BK30" s="214"/>
      <c r="BL30" s="214"/>
      <c r="BM30" s="214"/>
      <c r="BN30" s="214"/>
      <c r="BO30" s="214"/>
      <c r="BP30" s="214"/>
      <c r="BQ30" s="214"/>
      <c r="BR30" s="214"/>
      <c r="BS30" s="214"/>
      <c r="BT30" s="214"/>
      <c r="BU30" s="214"/>
      <c r="BV30" s="214"/>
      <c r="BW30" s="214"/>
      <c r="BX30" s="214"/>
      <c r="BY30" s="214"/>
      <c r="BZ30" s="214"/>
      <c r="CA30" s="214"/>
    </row>
    <row r="31" spans="1:79" s="215" customFormat="1" ht="21" customHeight="1" x14ac:dyDescent="0.25">
      <c r="A31" s="117" t="s">
        <v>60</v>
      </c>
      <c r="B31" s="186" t="s">
        <v>45</v>
      </c>
      <c r="C31" s="186" t="s">
        <v>46</v>
      </c>
      <c r="D31" s="187" t="s">
        <v>61</v>
      </c>
      <c r="E31" s="23" t="s">
        <v>62</v>
      </c>
      <c r="F31" s="209"/>
      <c r="G31" s="210"/>
      <c r="H31" s="211"/>
      <c r="I31" s="212">
        <v>8.8000000000000007</v>
      </c>
      <c r="J31" s="81" t="s">
        <v>63</v>
      </c>
      <c r="K31" s="213">
        <f t="shared" ref="K31" si="6">G31*I31</f>
        <v>0</v>
      </c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14"/>
      <c r="AJ31" s="214"/>
      <c r="AK31" s="214"/>
      <c r="AL31" s="214"/>
      <c r="AM31" s="214"/>
      <c r="AN31" s="214"/>
      <c r="AO31" s="214"/>
      <c r="AP31" s="214"/>
      <c r="AQ31" s="214"/>
      <c r="AR31" s="214"/>
      <c r="AS31" s="214"/>
      <c r="AT31" s="214"/>
      <c r="AU31" s="214"/>
      <c r="AV31" s="214"/>
      <c r="AW31" s="214"/>
      <c r="AX31" s="214"/>
      <c r="AY31" s="214"/>
      <c r="AZ31" s="214"/>
      <c r="BA31" s="214"/>
      <c r="BB31" s="214"/>
      <c r="BC31" s="214"/>
      <c r="BD31" s="214"/>
      <c r="BE31" s="214"/>
      <c r="BF31" s="214"/>
      <c r="BG31" s="214"/>
      <c r="BH31" s="214"/>
      <c r="BI31" s="214"/>
      <c r="BJ31" s="214"/>
      <c r="BK31" s="214"/>
      <c r="BL31" s="214"/>
      <c r="BM31" s="214"/>
      <c r="BN31" s="214"/>
      <c r="BO31" s="214"/>
      <c r="BP31" s="214"/>
      <c r="BQ31" s="214"/>
      <c r="BR31" s="214"/>
      <c r="BS31" s="214"/>
      <c r="BT31" s="214"/>
      <c r="BU31" s="214"/>
      <c r="BV31" s="214"/>
      <c r="BW31" s="214"/>
      <c r="BX31" s="214"/>
      <c r="BY31" s="214"/>
      <c r="BZ31" s="214"/>
      <c r="CA31" s="214"/>
    </row>
    <row r="32" spans="1:79" s="215" customFormat="1" ht="21" customHeight="1" x14ac:dyDescent="0.25">
      <c r="A32" s="117" t="s">
        <v>64</v>
      </c>
      <c r="B32" s="186" t="s">
        <v>65</v>
      </c>
      <c r="C32" s="186" t="s">
        <v>66</v>
      </c>
      <c r="D32" s="187" t="s">
        <v>1283</v>
      </c>
      <c r="E32" s="23" t="s">
        <v>1282</v>
      </c>
      <c r="F32" s="209"/>
      <c r="G32" s="210"/>
      <c r="H32" s="211"/>
      <c r="I32" s="212">
        <v>28</v>
      </c>
      <c r="J32" s="81"/>
      <c r="K32" s="213">
        <f t="shared" si="5"/>
        <v>0</v>
      </c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  <c r="AA32" s="214"/>
      <c r="AB32" s="214"/>
      <c r="AC32" s="214"/>
      <c r="AD32" s="214"/>
      <c r="AE32" s="214"/>
      <c r="AF32" s="214"/>
      <c r="AG32" s="214"/>
      <c r="AH32" s="214"/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  <c r="AS32" s="214"/>
      <c r="AT32" s="214"/>
      <c r="AU32" s="214"/>
      <c r="AV32" s="214"/>
      <c r="AW32" s="214"/>
      <c r="AX32" s="214"/>
      <c r="AY32" s="214"/>
      <c r="AZ32" s="214"/>
      <c r="BA32" s="214"/>
      <c r="BB32" s="214"/>
      <c r="BC32" s="214"/>
      <c r="BD32" s="214"/>
      <c r="BE32" s="214"/>
      <c r="BF32" s="214"/>
      <c r="BG32" s="214"/>
      <c r="BH32" s="214"/>
      <c r="BI32" s="214"/>
      <c r="BJ32" s="214"/>
      <c r="BK32" s="214"/>
      <c r="BL32" s="214"/>
      <c r="BM32" s="214"/>
      <c r="BN32" s="214"/>
      <c r="BO32" s="214"/>
      <c r="BP32" s="214"/>
      <c r="BQ32" s="214"/>
      <c r="BR32" s="214"/>
      <c r="BS32" s="214"/>
      <c r="BT32" s="214"/>
      <c r="BU32" s="214"/>
      <c r="BV32" s="214"/>
      <c r="BW32" s="214"/>
      <c r="BX32" s="214"/>
      <c r="BY32" s="214"/>
      <c r="BZ32" s="214"/>
      <c r="CA32" s="214"/>
    </row>
    <row r="33" spans="1:79" s="215" customFormat="1" ht="21" customHeight="1" x14ac:dyDescent="0.25">
      <c r="A33" s="117" t="s">
        <v>67</v>
      </c>
      <c r="B33" s="186" t="s">
        <v>65</v>
      </c>
      <c r="C33" s="186" t="s">
        <v>66</v>
      </c>
      <c r="D33" s="187" t="s">
        <v>68</v>
      </c>
      <c r="E33" s="23" t="s">
        <v>69</v>
      </c>
      <c r="F33" s="209"/>
      <c r="G33" s="210"/>
      <c r="H33" s="211"/>
      <c r="I33" s="212">
        <v>30</v>
      </c>
      <c r="J33" s="81"/>
      <c r="K33" s="213">
        <f t="shared" si="5"/>
        <v>0</v>
      </c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  <c r="AA33" s="214"/>
      <c r="AB33" s="214"/>
      <c r="AC33" s="214"/>
      <c r="AD33" s="214"/>
      <c r="AE33" s="214"/>
      <c r="AF33" s="214"/>
      <c r="AG33" s="214"/>
      <c r="AH33" s="214"/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  <c r="AS33" s="214"/>
      <c r="AT33" s="214"/>
      <c r="AU33" s="214"/>
      <c r="AV33" s="214"/>
      <c r="AW33" s="214"/>
      <c r="AX33" s="214"/>
      <c r="AY33" s="214"/>
      <c r="AZ33" s="214"/>
      <c r="BA33" s="214"/>
      <c r="BB33" s="214"/>
      <c r="BC33" s="214"/>
      <c r="BD33" s="214"/>
      <c r="BE33" s="214"/>
      <c r="BF33" s="214"/>
      <c r="BG33" s="214"/>
      <c r="BH33" s="214"/>
      <c r="BI33" s="214"/>
      <c r="BJ33" s="214"/>
      <c r="BK33" s="214"/>
      <c r="BL33" s="214"/>
      <c r="BM33" s="214"/>
      <c r="BN33" s="214"/>
      <c r="BO33" s="214"/>
      <c r="BP33" s="214"/>
      <c r="BQ33" s="214"/>
      <c r="BR33" s="214"/>
      <c r="BS33" s="214"/>
      <c r="BT33" s="214"/>
      <c r="BU33" s="214"/>
      <c r="BV33" s="214"/>
      <c r="BW33" s="214"/>
      <c r="BX33" s="214"/>
      <c r="BY33" s="214"/>
      <c r="BZ33" s="214"/>
      <c r="CA33" s="214"/>
    </row>
    <row r="34" spans="1:79" s="215" customFormat="1" ht="21" customHeight="1" x14ac:dyDescent="0.25">
      <c r="A34" s="117" t="s">
        <v>70</v>
      </c>
      <c r="B34" s="186" t="s">
        <v>65</v>
      </c>
      <c r="C34" s="186" t="s">
        <v>66</v>
      </c>
      <c r="D34" s="187" t="s">
        <v>71</v>
      </c>
      <c r="E34" s="23" t="s">
        <v>72</v>
      </c>
      <c r="F34" s="209"/>
      <c r="G34" s="210"/>
      <c r="H34" s="211"/>
      <c r="I34" s="212">
        <v>26</v>
      </c>
      <c r="J34" s="81"/>
      <c r="K34" s="213">
        <f t="shared" si="5"/>
        <v>0</v>
      </c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  <c r="AD34" s="214"/>
      <c r="AE34" s="214"/>
      <c r="AF34" s="214"/>
      <c r="AG34" s="214"/>
      <c r="AH34" s="214"/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  <c r="AS34" s="214"/>
      <c r="AT34" s="214"/>
      <c r="AU34" s="214"/>
      <c r="AV34" s="214"/>
      <c r="AW34" s="214"/>
      <c r="AX34" s="214"/>
      <c r="AY34" s="214"/>
      <c r="AZ34" s="214"/>
      <c r="BA34" s="214"/>
      <c r="BB34" s="214"/>
      <c r="BC34" s="214"/>
      <c r="BD34" s="214"/>
      <c r="BE34" s="214"/>
      <c r="BF34" s="214"/>
      <c r="BG34" s="214"/>
      <c r="BH34" s="214"/>
      <c r="BI34" s="214"/>
      <c r="BJ34" s="214"/>
      <c r="BK34" s="214"/>
      <c r="BL34" s="214"/>
      <c r="BM34" s="214"/>
      <c r="BN34" s="214"/>
      <c r="BO34" s="214"/>
      <c r="BP34" s="214"/>
      <c r="BQ34" s="214"/>
      <c r="BR34" s="214"/>
      <c r="BS34" s="214"/>
      <c r="BT34" s="214"/>
      <c r="BU34" s="214"/>
      <c r="BV34" s="214"/>
      <c r="BW34" s="214"/>
      <c r="BX34" s="214"/>
      <c r="BY34" s="214"/>
      <c r="BZ34" s="214"/>
      <c r="CA34" s="214"/>
    </row>
    <row r="35" spans="1:79" s="215" customFormat="1" ht="21" customHeight="1" x14ac:dyDescent="0.25">
      <c r="A35" s="117" t="s">
        <v>73</v>
      </c>
      <c r="B35" s="186" t="s">
        <v>65</v>
      </c>
      <c r="C35" s="186" t="s">
        <v>66</v>
      </c>
      <c r="D35" s="187" t="s">
        <v>71</v>
      </c>
      <c r="E35" s="23" t="s">
        <v>74</v>
      </c>
      <c r="F35" s="209"/>
      <c r="G35" s="210"/>
      <c r="H35" s="211"/>
      <c r="I35" s="212">
        <v>22</v>
      </c>
      <c r="J35" s="81"/>
      <c r="K35" s="213">
        <f t="shared" si="5"/>
        <v>0</v>
      </c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4"/>
      <c r="AE35" s="214"/>
      <c r="AF35" s="214"/>
      <c r="AG35" s="214"/>
      <c r="AH35" s="214"/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  <c r="AS35" s="214"/>
      <c r="AT35" s="214"/>
      <c r="AU35" s="214"/>
      <c r="AV35" s="214"/>
      <c r="AW35" s="214"/>
      <c r="AX35" s="214"/>
      <c r="AY35" s="214"/>
      <c r="AZ35" s="214"/>
      <c r="BA35" s="214"/>
      <c r="BB35" s="214"/>
      <c r="BC35" s="214"/>
      <c r="BD35" s="214"/>
      <c r="BE35" s="214"/>
      <c r="BF35" s="214"/>
      <c r="BG35" s="214"/>
      <c r="BH35" s="214"/>
      <c r="BI35" s="214"/>
      <c r="BJ35" s="214"/>
      <c r="BK35" s="214"/>
      <c r="BL35" s="214"/>
      <c r="BM35" s="214"/>
      <c r="BN35" s="214"/>
      <c r="BO35" s="214"/>
      <c r="BP35" s="214"/>
      <c r="BQ35" s="214"/>
      <c r="BR35" s="214"/>
      <c r="BS35" s="214"/>
      <c r="BT35" s="214"/>
      <c r="BU35" s="214"/>
      <c r="BV35" s="214"/>
      <c r="BW35" s="214"/>
      <c r="BX35" s="214"/>
      <c r="BY35" s="214"/>
      <c r="BZ35" s="214"/>
      <c r="CA35" s="214"/>
    </row>
    <row r="36" spans="1:79" s="215" customFormat="1" ht="21" customHeight="1" x14ac:dyDescent="0.25">
      <c r="A36" s="117" t="s">
        <v>75</v>
      </c>
      <c r="B36" s="186" t="s">
        <v>50</v>
      </c>
      <c r="C36" s="186" t="s">
        <v>51</v>
      </c>
      <c r="D36" s="187" t="s">
        <v>76</v>
      </c>
      <c r="E36" s="23" t="s">
        <v>77</v>
      </c>
      <c r="F36" s="209"/>
      <c r="G36" s="210"/>
      <c r="H36" s="211"/>
      <c r="I36" s="212">
        <v>4.5</v>
      </c>
      <c r="J36" s="81"/>
      <c r="K36" s="213">
        <f t="shared" si="5"/>
        <v>0</v>
      </c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14"/>
      <c r="AJ36" s="214"/>
      <c r="AK36" s="214"/>
      <c r="AL36" s="214"/>
      <c r="AM36" s="214"/>
      <c r="AN36" s="214"/>
      <c r="AO36" s="214"/>
      <c r="AP36" s="214"/>
      <c r="AQ36" s="214"/>
      <c r="AR36" s="214"/>
      <c r="AS36" s="214"/>
      <c r="AT36" s="214"/>
      <c r="AU36" s="214"/>
      <c r="AV36" s="214"/>
      <c r="AW36" s="214"/>
      <c r="AX36" s="214"/>
      <c r="AY36" s="214"/>
      <c r="AZ36" s="214"/>
      <c r="BA36" s="214"/>
      <c r="BB36" s="214"/>
      <c r="BC36" s="214"/>
      <c r="BD36" s="214"/>
      <c r="BE36" s="214"/>
      <c r="BF36" s="214"/>
      <c r="BG36" s="214"/>
      <c r="BH36" s="214"/>
      <c r="BI36" s="214"/>
      <c r="BJ36" s="214"/>
      <c r="BK36" s="214"/>
      <c r="BL36" s="214"/>
      <c r="BM36" s="214"/>
      <c r="BN36" s="214"/>
      <c r="BO36" s="214"/>
      <c r="BP36" s="214"/>
      <c r="BQ36" s="214"/>
      <c r="BR36" s="214"/>
      <c r="BS36" s="214"/>
      <c r="BT36" s="214"/>
      <c r="BU36" s="214"/>
      <c r="BV36" s="214"/>
      <c r="BW36" s="214"/>
      <c r="BX36" s="214"/>
      <c r="BY36" s="214"/>
      <c r="BZ36" s="214"/>
      <c r="CA36" s="214"/>
    </row>
    <row r="37" spans="1:79" s="215" customFormat="1" ht="21" customHeight="1" x14ac:dyDescent="0.25">
      <c r="A37" s="117" t="s">
        <v>78</v>
      </c>
      <c r="B37" s="186" t="s">
        <v>50</v>
      </c>
      <c r="C37" s="186" t="s">
        <v>79</v>
      </c>
      <c r="D37" s="187" t="s">
        <v>80</v>
      </c>
      <c r="E37" s="23" t="s">
        <v>81</v>
      </c>
      <c r="F37" s="209"/>
      <c r="G37" s="210"/>
      <c r="H37" s="211"/>
      <c r="I37" s="212">
        <v>4</v>
      </c>
      <c r="J37" s="81" t="s">
        <v>82</v>
      </c>
      <c r="K37" s="213">
        <f t="shared" si="5"/>
        <v>0</v>
      </c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214"/>
      <c r="AU37" s="214"/>
      <c r="AV37" s="214"/>
      <c r="AW37" s="214"/>
      <c r="AX37" s="214"/>
      <c r="AY37" s="214"/>
      <c r="AZ37" s="214"/>
      <c r="BA37" s="214"/>
      <c r="BB37" s="214"/>
      <c r="BC37" s="214"/>
      <c r="BD37" s="214"/>
      <c r="BE37" s="214"/>
      <c r="BF37" s="214"/>
      <c r="BG37" s="214"/>
      <c r="BH37" s="214"/>
      <c r="BI37" s="214"/>
      <c r="BJ37" s="214"/>
      <c r="BK37" s="214"/>
      <c r="BL37" s="214"/>
      <c r="BM37" s="214"/>
      <c r="BN37" s="214"/>
      <c r="BO37" s="214"/>
      <c r="BP37" s="214"/>
      <c r="BQ37" s="214"/>
      <c r="BR37" s="214"/>
      <c r="BS37" s="214"/>
      <c r="BT37" s="214"/>
      <c r="BU37" s="214"/>
      <c r="BV37" s="214"/>
      <c r="BW37" s="214"/>
      <c r="BX37" s="214"/>
      <c r="BY37" s="214"/>
      <c r="BZ37" s="214"/>
      <c r="CA37" s="214"/>
    </row>
    <row r="38" spans="1:79" s="215" customFormat="1" ht="21" customHeight="1" x14ac:dyDescent="0.25">
      <c r="A38" s="117" t="s">
        <v>83</v>
      </c>
      <c r="B38" s="186" t="s">
        <v>28</v>
      </c>
      <c r="C38" s="186" t="s">
        <v>84</v>
      </c>
      <c r="D38" s="187" t="s">
        <v>85</v>
      </c>
      <c r="E38" s="23" t="s">
        <v>86</v>
      </c>
      <c r="F38" s="209"/>
      <c r="G38" s="210"/>
      <c r="H38" s="211"/>
      <c r="I38" s="212">
        <v>92</v>
      </c>
      <c r="J38" s="81" t="s">
        <v>87</v>
      </c>
      <c r="K38" s="213">
        <f t="shared" si="5"/>
        <v>0</v>
      </c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  <c r="AH38" s="214"/>
      <c r="AI38" s="214"/>
      <c r="AJ38" s="214"/>
      <c r="AK38" s="214"/>
      <c r="AL38" s="214"/>
      <c r="AM38" s="214"/>
      <c r="AN38" s="214"/>
      <c r="AO38" s="214"/>
      <c r="AP38" s="214"/>
      <c r="AQ38" s="214"/>
      <c r="AR38" s="214"/>
      <c r="AS38" s="214"/>
      <c r="AT38" s="214"/>
      <c r="AU38" s="214"/>
      <c r="AV38" s="214"/>
      <c r="AW38" s="214"/>
      <c r="AX38" s="214"/>
      <c r="AY38" s="214"/>
      <c r="AZ38" s="214"/>
      <c r="BA38" s="214"/>
      <c r="BB38" s="214"/>
      <c r="BC38" s="214"/>
      <c r="BD38" s="214"/>
      <c r="BE38" s="214"/>
      <c r="BF38" s="214"/>
      <c r="BG38" s="214"/>
      <c r="BH38" s="214"/>
      <c r="BI38" s="214"/>
      <c r="BJ38" s="214"/>
      <c r="BK38" s="214"/>
      <c r="BL38" s="214"/>
      <c r="BM38" s="214"/>
      <c r="BN38" s="214"/>
      <c r="BO38" s="214"/>
      <c r="BP38" s="214"/>
      <c r="BQ38" s="214"/>
      <c r="BR38" s="214"/>
      <c r="BS38" s="214"/>
      <c r="BT38" s="214"/>
      <c r="BU38" s="214"/>
      <c r="BV38" s="214"/>
      <c r="BW38" s="214"/>
      <c r="BX38" s="214"/>
      <c r="BY38" s="214"/>
      <c r="BZ38" s="214"/>
      <c r="CA38" s="214"/>
    </row>
    <row r="39" spans="1:79" s="215" customFormat="1" ht="21" customHeight="1" x14ac:dyDescent="0.25">
      <c r="A39" s="117" t="s">
        <v>88</v>
      </c>
      <c r="B39" s="186" t="s">
        <v>28</v>
      </c>
      <c r="C39" s="186" t="s">
        <v>89</v>
      </c>
      <c r="D39" s="187" t="s">
        <v>182</v>
      </c>
      <c r="E39" s="23" t="s">
        <v>1286</v>
      </c>
      <c r="F39" s="209"/>
      <c r="G39" s="210"/>
      <c r="H39" s="211"/>
      <c r="I39" s="212">
        <v>50</v>
      </c>
      <c r="J39" s="81"/>
      <c r="K39" s="213">
        <f t="shared" si="5"/>
        <v>0</v>
      </c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4"/>
      <c r="AN39" s="214"/>
      <c r="AO39" s="214"/>
      <c r="AP39" s="214"/>
      <c r="AQ39" s="214"/>
      <c r="AR39" s="214"/>
      <c r="AS39" s="214"/>
      <c r="AT39" s="214"/>
      <c r="AU39" s="214"/>
      <c r="AV39" s="214"/>
      <c r="AW39" s="214"/>
      <c r="AX39" s="214"/>
      <c r="AY39" s="214"/>
      <c r="AZ39" s="214"/>
      <c r="BA39" s="214"/>
      <c r="BB39" s="214"/>
      <c r="BC39" s="214"/>
      <c r="BD39" s="214"/>
      <c r="BE39" s="214"/>
      <c r="BF39" s="214"/>
      <c r="BG39" s="214"/>
      <c r="BH39" s="214"/>
      <c r="BI39" s="214"/>
      <c r="BJ39" s="214"/>
      <c r="BK39" s="214"/>
      <c r="BL39" s="214"/>
      <c r="BM39" s="214"/>
      <c r="BN39" s="214"/>
      <c r="BO39" s="214"/>
      <c r="BP39" s="214"/>
      <c r="BQ39" s="214"/>
      <c r="BR39" s="214"/>
      <c r="BS39" s="214"/>
      <c r="BT39" s="214"/>
      <c r="BU39" s="214"/>
      <c r="BV39" s="214"/>
      <c r="BW39" s="214"/>
      <c r="BX39" s="214"/>
      <c r="BY39" s="214"/>
      <c r="BZ39" s="214"/>
      <c r="CA39" s="214"/>
    </row>
    <row r="40" spans="1:79" s="215" customFormat="1" ht="21" customHeight="1" x14ac:dyDescent="0.25">
      <c r="A40" s="117" t="s">
        <v>93</v>
      </c>
      <c r="B40" s="186" t="s">
        <v>50</v>
      </c>
      <c r="C40" s="186" t="s">
        <v>79</v>
      </c>
      <c r="D40" s="187" t="s">
        <v>94</v>
      </c>
      <c r="E40" s="23" t="s">
        <v>95</v>
      </c>
      <c r="F40" s="209"/>
      <c r="G40" s="210"/>
      <c r="H40" s="211"/>
      <c r="I40" s="212">
        <v>5.3</v>
      </c>
      <c r="J40" s="81" t="s">
        <v>96</v>
      </c>
      <c r="K40" s="213">
        <f t="shared" si="5"/>
        <v>0</v>
      </c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214"/>
      <c r="AN40" s="214"/>
      <c r="AO40" s="214"/>
      <c r="AP40" s="214"/>
      <c r="AQ40" s="214"/>
      <c r="AR40" s="214"/>
      <c r="AS40" s="214"/>
      <c r="AT40" s="214"/>
      <c r="AU40" s="214"/>
      <c r="AV40" s="214"/>
      <c r="AW40" s="214"/>
      <c r="AX40" s="214"/>
      <c r="AY40" s="214"/>
      <c r="AZ40" s="214"/>
      <c r="BA40" s="214"/>
      <c r="BB40" s="214"/>
      <c r="BC40" s="214"/>
      <c r="BD40" s="214"/>
      <c r="BE40" s="214"/>
      <c r="BF40" s="214"/>
      <c r="BG40" s="214"/>
      <c r="BH40" s="214"/>
      <c r="BI40" s="214"/>
      <c r="BJ40" s="214"/>
      <c r="BK40" s="214"/>
      <c r="BL40" s="214"/>
      <c r="BM40" s="214"/>
      <c r="BN40" s="214"/>
      <c r="BO40" s="214"/>
      <c r="BP40" s="214"/>
      <c r="BQ40" s="214"/>
      <c r="BR40" s="214"/>
      <c r="BS40" s="214"/>
      <c r="BT40" s="214"/>
      <c r="BU40" s="214"/>
      <c r="BV40" s="214"/>
      <c r="BW40" s="214"/>
      <c r="BX40" s="214"/>
      <c r="BY40" s="214"/>
      <c r="BZ40" s="214"/>
      <c r="CA40" s="214"/>
    </row>
    <row r="41" spans="1:79" s="215" customFormat="1" ht="21" customHeight="1" x14ac:dyDescent="0.25">
      <c r="A41" s="117" t="s">
        <v>97</v>
      </c>
      <c r="B41" s="186" t="s">
        <v>50</v>
      </c>
      <c r="C41" s="186" t="s">
        <v>79</v>
      </c>
      <c r="D41" s="187" t="s">
        <v>98</v>
      </c>
      <c r="E41" s="23" t="s">
        <v>99</v>
      </c>
      <c r="F41" s="209"/>
      <c r="G41" s="210"/>
      <c r="H41" s="211"/>
      <c r="I41" s="212">
        <v>5.3</v>
      </c>
      <c r="J41" s="81" t="s">
        <v>96</v>
      </c>
      <c r="K41" s="213">
        <f t="shared" si="5"/>
        <v>0</v>
      </c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4"/>
      <c r="AX41" s="214"/>
      <c r="AY41" s="214"/>
      <c r="AZ41" s="214"/>
      <c r="BA41" s="214"/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214"/>
      <c r="BT41" s="214"/>
      <c r="BU41" s="214"/>
      <c r="BV41" s="214"/>
      <c r="BW41" s="214"/>
      <c r="BX41" s="214"/>
      <c r="BY41" s="214"/>
      <c r="BZ41" s="214"/>
      <c r="CA41" s="214"/>
    </row>
    <row r="42" spans="1:79" s="215" customFormat="1" ht="21" customHeight="1" x14ac:dyDescent="0.25">
      <c r="A42" s="117" t="s">
        <v>100</v>
      </c>
      <c r="B42" s="186" t="s">
        <v>50</v>
      </c>
      <c r="C42" s="186" t="s">
        <v>101</v>
      </c>
      <c r="D42" s="187" t="s">
        <v>68</v>
      </c>
      <c r="E42" s="23" t="s">
        <v>102</v>
      </c>
      <c r="F42" s="209"/>
      <c r="G42" s="210"/>
      <c r="H42" s="211"/>
      <c r="I42" s="212">
        <v>5.8</v>
      </c>
      <c r="J42" s="81" t="s">
        <v>103</v>
      </c>
      <c r="K42" s="213">
        <f t="shared" si="5"/>
        <v>0</v>
      </c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4"/>
      <c r="AE42" s="214"/>
      <c r="AF42" s="214"/>
      <c r="AG42" s="214"/>
      <c r="AH42" s="214"/>
      <c r="AI42" s="214"/>
      <c r="AJ42" s="214"/>
      <c r="AK42" s="214"/>
      <c r="AL42" s="214"/>
      <c r="AM42" s="214"/>
      <c r="AN42" s="214"/>
      <c r="AO42" s="214"/>
      <c r="AP42" s="214"/>
      <c r="AQ42" s="214"/>
      <c r="AR42" s="214"/>
      <c r="AS42" s="214"/>
      <c r="AT42" s="214"/>
      <c r="AU42" s="214"/>
      <c r="AV42" s="214"/>
      <c r="AW42" s="214"/>
      <c r="AX42" s="214"/>
      <c r="AY42" s="214"/>
      <c r="AZ42" s="214"/>
      <c r="BA42" s="214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4"/>
      <c r="BT42" s="214"/>
      <c r="BU42" s="214"/>
      <c r="BV42" s="214"/>
      <c r="BW42" s="214"/>
      <c r="BX42" s="214"/>
      <c r="BY42" s="214"/>
      <c r="BZ42" s="214"/>
      <c r="CA42" s="214"/>
    </row>
    <row r="43" spans="1:79" s="215" customFormat="1" ht="21" customHeight="1" x14ac:dyDescent="0.25">
      <c r="A43" s="117" t="s">
        <v>104</v>
      </c>
      <c r="B43" s="186" t="s">
        <v>28</v>
      </c>
      <c r="C43" s="186" t="s">
        <v>105</v>
      </c>
      <c r="D43" s="187" t="s">
        <v>106</v>
      </c>
      <c r="E43" s="23" t="s">
        <v>107</v>
      </c>
      <c r="F43" s="209"/>
      <c r="G43" s="210"/>
      <c r="H43" s="211"/>
      <c r="I43" s="212">
        <v>39</v>
      </c>
      <c r="J43" s="81" t="s">
        <v>25</v>
      </c>
      <c r="K43" s="213">
        <f t="shared" si="5"/>
        <v>0</v>
      </c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4"/>
      <c r="AU43" s="214"/>
      <c r="AV43" s="214"/>
      <c r="AW43" s="214"/>
      <c r="AX43" s="214"/>
      <c r="AY43" s="214"/>
      <c r="AZ43" s="214"/>
      <c r="BA43" s="214"/>
      <c r="BB43" s="214"/>
      <c r="BC43" s="214"/>
      <c r="BD43" s="214"/>
      <c r="BE43" s="214"/>
      <c r="BF43" s="214"/>
      <c r="BG43" s="214"/>
      <c r="BH43" s="214"/>
      <c r="BI43" s="214"/>
      <c r="BJ43" s="214"/>
      <c r="BK43" s="214"/>
      <c r="BL43" s="214"/>
      <c r="BM43" s="214"/>
      <c r="BN43" s="214"/>
      <c r="BO43" s="214"/>
      <c r="BP43" s="214"/>
      <c r="BQ43" s="214"/>
      <c r="BR43" s="214"/>
      <c r="BS43" s="214"/>
      <c r="BT43" s="214"/>
      <c r="BU43" s="214"/>
      <c r="BV43" s="214"/>
      <c r="BW43" s="214"/>
      <c r="BX43" s="214"/>
      <c r="BY43" s="214"/>
      <c r="BZ43" s="214"/>
      <c r="CA43" s="214"/>
    </row>
    <row r="44" spans="1:79" s="215" customFormat="1" ht="21" customHeight="1" x14ac:dyDescent="0.25">
      <c r="A44" s="117" t="s">
        <v>108</v>
      </c>
      <c r="B44" s="186" t="s">
        <v>28</v>
      </c>
      <c r="C44" s="186" t="s">
        <v>105</v>
      </c>
      <c r="D44" s="187" t="s">
        <v>106</v>
      </c>
      <c r="E44" s="23" t="s">
        <v>109</v>
      </c>
      <c r="F44" s="209"/>
      <c r="G44" s="210"/>
      <c r="H44" s="211"/>
      <c r="I44" s="212">
        <v>67</v>
      </c>
      <c r="J44" s="81"/>
      <c r="K44" s="213">
        <f t="shared" si="5"/>
        <v>0</v>
      </c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  <c r="AA44" s="214"/>
      <c r="AB44" s="214"/>
      <c r="AC44" s="214"/>
      <c r="AD44" s="214"/>
      <c r="AE44" s="214"/>
      <c r="AF44" s="214"/>
      <c r="AG44" s="214"/>
      <c r="AH44" s="214"/>
      <c r="AI44" s="214"/>
      <c r="AJ44" s="214"/>
      <c r="AK44" s="214"/>
      <c r="AL44" s="214"/>
      <c r="AM44" s="214"/>
      <c r="AN44" s="214"/>
      <c r="AO44" s="214"/>
      <c r="AP44" s="214"/>
      <c r="AQ44" s="214"/>
      <c r="AR44" s="214"/>
      <c r="AS44" s="214"/>
      <c r="AT44" s="214"/>
      <c r="AU44" s="214"/>
      <c r="AV44" s="214"/>
      <c r="AW44" s="214"/>
      <c r="AX44" s="214"/>
      <c r="AY44" s="214"/>
      <c r="AZ44" s="214"/>
      <c r="BA44" s="214"/>
      <c r="BB44" s="214"/>
      <c r="BC44" s="214"/>
      <c r="BD44" s="214"/>
      <c r="BE44" s="214"/>
      <c r="BF44" s="214"/>
      <c r="BG44" s="214"/>
      <c r="BH44" s="214"/>
      <c r="BI44" s="214"/>
      <c r="BJ44" s="214"/>
      <c r="BK44" s="214"/>
      <c r="BL44" s="214"/>
      <c r="BM44" s="214"/>
      <c r="BN44" s="214"/>
      <c r="BO44" s="214"/>
      <c r="BP44" s="214"/>
      <c r="BQ44" s="214"/>
      <c r="BR44" s="214"/>
      <c r="BS44" s="214"/>
      <c r="BT44" s="214"/>
      <c r="BU44" s="214"/>
      <c r="BV44" s="214"/>
      <c r="BW44" s="214"/>
      <c r="BX44" s="214"/>
      <c r="BY44" s="214"/>
      <c r="BZ44" s="214"/>
      <c r="CA44" s="214"/>
    </row>
    <row r="45" spans="1:79" s="215" customFormat="1" ht="21" customHeight="1" x14ac:dyDescent="0.25">
      <c r="A45" s="117" t="s">
        <v>1273</v>
      </c>
      <c r="B45" s="186" t="s">
        <v>28</v>
      </c>
      <c r="C45" s="186" t="s">
        <v>105</v>
      </c>
      <c r="D45" s="187" t="s">
        <v>346</v>
      </c>
      <c r="E45" s="23" t="s">
        <v>1275</v>
      </c>
      <c r="F45" s="209"/>
      <c r="G45" s="210"/>
      <c r="H45" s="211"/>
      <c r="I45" s="212">
        <v>95</v>
      </c>
      <c r="J45" s="81"/>
      <c r="K45" s="213">
        <f>G45*I45</f>
        <v>0</v>
      </c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  <c r="AK45" s="214"/>
      <c r="AL45" s="214"/>
      <c r="AM45" s="214"/>
      <c r="AN45" s="214"/>
      <c r="AO45" s="214"/>
      <c r="AP45" s="214"/>
      <c r="AQ45" s="214"/>
      <c r="AR45" s="214"/>
      <c r="AS45" s="214"/>
      <c r="AT45" s="214"/>
      <c r="AU45" s="214"/>
      <c r="AV45" s="214"/>
      <c r="AW45" s="214"/>
      <c r="AX45" s="214"/>
      <c r="AY45" s="214"/>
      <c r="AZ45" s="214"/>
      <c r="BA45" s="214"/>
      <c r="BB45" s="214"/>
      <c r="BC45" s="214"/>
      <c r="BD45" s="214"/>
      <c r="BE45" s="214"/>
      <c r="BF45" s="214"/>
      <c r="BG45" s="214"/>
      <c r="BH45" s="214"/>
      <c r="BI45" s="214"/>
      <c r="BJ45" s="214"/>
      <c r="BK45" s="214"/>
      <c r="BL45" s="214"/>
      <c r="BM45" s="214"/>
      <c r="BN45" s="214"/>
      <c r="BO45" s="214"/>
      <c r="BP45" s="214"/>
      <c r="BQ45" s="214"/>
      <c r="BR45" s="214"/>
      <c r="BS45" s="214"/>
      <c r="BT45" s="214"/>
      <c r="BU45" s="214"/>
      <c r="BV45" s="214"/>
      <c r="BW45" s="214"/>
      <c r="BX45" s="214"/>
      <c r="BY45" s="214"/>
      <c r="BZ45" s="214"/>
      <c r="CA45" s="214"/>
    </row>
    <row r="46" spans="1:79" s="215" customFormat="1" ht="21" customHeight="1" x14ac:dyDescent="0.25">
      <c r="A46" s="117" t="s">
        <v>1274</v>
      </c>
      <c r="B46" s="186" t="s">
        <v>28</v>
      </c>
      <c r="C46" s="186" t="s">
        <v>105</v>
      </c>
      <c r="D46" s="187" t="s">
        <v>346</v>
      </c>
      <c r="E46" s="23" t="s">
        <v>1276</v>
      </c>
      <c r="F46" s="209"/>
      <c r="G46" s="210"/>
      <c r="H46" s="211"/>
      <c r="I46" s="212">
        <v>40</v>
      </c>
      <c r="J46" s="81"/>
      <c r="K46" s="213">
        <f>G46*I46</f>
        <v>0</v>
      </c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  <c r="AK46" s="214"/>
      <c r="AL46" s="214"/>
      <c r="AM46" s="214"/>
      <c r="AN46" s="214"/>
      <c r="AO46" s="214"/>
      <c r="AP46" s="214"/>
      <c r="AQ46" s="214"/>
      <c r="AR46" s="214"/>
      <c r="AS46" s="214"/>
      <c r="AT46" s="214"/>
      <c r="AU46" s="214"/>
      <c r="AV46" s="214"/>
      <c r="AW46" s="214"/>
      <c r="AX46" s="214"/>
      <c r="AY46" s="214"/>
      <c r="AZ46" s="214"/>
      <c r="BA46" s="214"/>
      <c r="BB46" s="214"/>
      <c r="BC46" s="214"/>
      <c r="BD46" s="214"/>
      <c r="BE46" s="214"/>
      <c r="BF46" s="214"/>
      <c r="BG46" s="214"/>
      <c r="BH46" s="214"/>
      <c r="BI46" s="214"/>
      <c r="BJ46" s="214"/>
      <c r="BK46" s="214"/>
      <c r="BL46" s="214"/>
      <c r="BM46" s="214"/>
      <c r="BN46" s="214"/>
      <c r="BO46" s="214"/>
      <c r="BP46" s="214"/>
      <c r="BQ46" s="214"/>
      <c r="BR46" s="214"/>
      <c r="BS46" s="214"/>
      <c r="BT46" s="214"/>
      <c r="BU46" s="214"/>
      <c r="BV46" s="214"/>
      <c r="BW46" s="214"/>
      <c r="BX46" s="214"/>
      <c r="BY46" s="214"/>
      <c r="BZ46" s="214"/>
      <c r="CA46" s="214"/>
    </row>
    <row r="47" spans="1:79" s="215" customFormat="1" ht="21" customHeight="1" x14ac:dyDescent="0.25">
      <c r="A47" s="117" t="s">
        <v>110</v>
      </c>
      <c r="B47" s="186" t="s">
        <v>28</v>
      </c>
      <c r="C47" s="186" t="s">
        <v>111</v>
      </c>
      <c r="D47" s="187" t="s">
        <v>61</v>
      </c>
      <c r="E47" s="23" t="s">
        <v>112</v>
      </c>
      <c r="F47" s="209"/>
      <c r="G47" s="210"/>
      <c r="H47" s="211"/>
      <c r="I47" s="212">
        <v>54</v>
      </c>
      <c r="J47" s="81"/>
      <c r="K47" s="213">
        <f t="shared" si="5"/>
        <v>0</v>
      </c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  <c r="AH47" s="214"/>
      <c r="AI47" s="214"/>
      <c r="AJ47" s="214"/>
      <c r="AK47" s="214"/>
      <c r="AL47" s="214"/>
      <c r="AM47" s="214"/>
      <c r="AN47" s="214"/>
      <c r="AO47" s="214"/>
      <c r="AP47" s="214"/>
      <c r="AQ47" s="214"/>
      <c r="AR47" s="214"/>
      <c r="AS47" s="214"/>
      <c r="AT47" s="214"/>
      <c r="AU47" s="214"/>
      <c r="AV47" s="214"/>
      <c r="AW47" s="214"/>
      <c r="AX47" s="214"/>
      <c r="AY47" s="214"/>
      <c r="AZ47" s="214"/>
      <c r="BA47" s="214"/>
      <c r="BB47" s="214"/>
      <c r="BC47" s="214"/>
      <c r="BD47" s="214"/>
      <c r="BE47" s="214"/>
      <c r="BF47" s="214"/>
      <c r="BG47" s="214"/>
      <c r="BH47" s="214"/>
      <c r="BI47" s="214"/>
      <c r="BJ47" s="214"/>
      <c r="BK47" s="214"/>
      <c r="BL47" s="214"/>
      <c r="BM47" s="214"/>
      <c r="BN47" s="214"/>
      <c r="BO47" s="214"/>
      <c r="BP47" s="214"/>
      <c r="BQ47" s="214"/>
      <c r="BR47" s="214"/>
      <c r="BS47" s="214"/>
      <c r="BT47" s="214"/>
      <c r="BU47" s="214"/>
      <c r="BV47" s="214"/>
      <c r="BW47" s="214"/>
      <c r="BX47" s="214"/>
      <c r="BY47" s="214"/>
      <c r="BZ47" s="214"/>
      <c r="CA47" s="214"/>
    </row>
    <row r="48" spans="1:79" s="215" customFormat="1" ht="21" customHeight="1" x14ac:dyDescent="0.25">
      <c r="A48" s="117" t="s">
        <v>113</v>
      </c>
      <c r="B48" s="186" t="s">
        <v>50</v>
      </c>
      <c r="C48" s="186" t="s">
        <v>51</v>
      </c>
      <c r="D48" s="187" t="s">
        <v>76</v>
      </c>
      <c r="E48" s="23" t="s">
        <v>114</v>
      </c>
      <c r="F48" s="209"/>
      <c r="G48" s="210"/>
      <c r="H48" s="211"/>
      <c r="I48" s="212">
        <v>4.7</v>
      </c>
      <c r="J48" s="81"/>
      <c r="K48" s="213">
        <f t="shared" si="5"/>
        <v>0</v>
      </c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  <c r="AA48" s="214"/>
      <c r="AB48" s="214"/>
      <c r="AC48" s="214"/>
      <c r="AD48" s="214"/>
      <c r="AE48" s="214"/>
      <c r="AF48" s="214"/>
      <c r="AG48" s="214"/>
      <c r="AH48" s="214"/>
      <c r="AI48" s="214"/>
      <c r="AJ48" s="214"/>
      <c r="AK48" s="214"/>
      <c r="AL48" s="214"/>
      <c r="AM48" s="214"/>
      <c r="AN48" s="214"/>
      <c r="AO48" s="214"/>
      <c r="AP48" s="214"/>
      <c r="AQ48" s="214"/>
      <c r="AR48" s="214"/>
      <c r="AS48" s="214"/>
      <c r="AT48" s="214"/>
      <c r="AU48" s="214"/>
      <c r="AV48" s="214"/>
      <c r="AW48" s="214"/>
      <c r="AX48" s="214"/>
      <c r="AY48" s="214"/>
      <c r="AZ48" s="214"/>
      <c r="BA48" s="214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4"/>
      <c r="BT48" s="214"/>
      <c r="BU48" s="214"/>
      <c r="BV48" s="214"/>
      <c r="BW48" s="214"/>
      <c r="BX48" s="214"/>
      <c r="BY48" s="214"/>
      <c r="BZ48" s="214"/>
      <c r="CA48" s="214"/>
    </row>
    <row r="49" spans="1:79" s="215" customFormat="1" ht="21" customHeight="1" x14ac:dyDescent="0.25">
      <c r="A49" s="117" t="s">
        <v>115</v>
      </c>
      <c r="B49" s="186" t="s">
        <v>28</v>
      </c>
      <c r="C49" s="186" t="s">
        <v>105</v>
      </c>
      <c r="D49" s="187" t="s">
        <v>71</v>
      </c>
      <c r="E49" s="23" t="s">
        <v>116</v>
      </c>
      <c r="F49" s="209"/>
      <c r="G49" s="210"/>
      <c r="H49" s="211"/>
      <c r="I49" s="212">
        <v>24</v>
      </c>
      <c r="J49" s="81" t="s">
        <v>25</v>
      </c>
      <c r="K49" s="213">
        <f t="shared" si="5"/>
        <v>0</v>
      </c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214"/>
      <c r="AW49" s="214"/>
      <c r="AX49" s="214"/>
      <c r="AY49" s="214"/>
      <c r="AZ49" s="214"/>
      <c r="BA49" s="214"/>
      <c r="BB49" s="214"/>
      <c r="BC49" s="214"/>
      <c r="BD49" s="214"/>
      <c r="BE49" s="214"/>
      <c r="BF49" s="214"/>
      <c r="BG49" s="214"/>
      <c r="BH49" s="214"/>
      <c r="BI49" s="214"/>
      <c r="BJ49" s="214"/>
      <c r="BK49" s="214"/>
      <c r="BL49" s="214"/>
      <c r="BM49" s="214"/>
      <c r="BN49" s="214"/>
      <c r="BO49" s="214"/>
      <c r="BP49" s="214"/>
      <c r="BQ49" s="214"/>
      <c r="BR49" s="214"/>
      <c r="BS49" s="214"/>
      <c r="BT49" s="214"/>
      <c r="BU49" s="214"/>
      <c r="BV49" s="214"/>
      <c r="BW49" s="214"/>
      <c r="BX49" s="214"/>
      <c r="BY49" s="214"/>
      <c r="BZ49" s="214"/>
      <c r="CA49" s="214"/>
    </row>
    <row r="50" spans="1:79" s="215" customFormat="1" ht="21" customHeight="1" x14ac:dyDescent="0.25">
      <c r="A50" s="117" t="s">
        <v>117</v>
      </c>
      <c r="B50" s="186" t="s">
        <v>28</v>
      </c>
      <c r="C50" s="186" t="s">
        <v>66</v>
      </c>
      <c r="D50" s="187" t="s">
        <v>118</v>
      </c>
      <c r="E50" s="23" t="s">
        <v>119</v>
      </c>
      <c r="F50" s="209"/>
      <c r="G50" s="210"/>
      <c r="H50" s="211"/>
      <c r="I50" s="212">
        <v>50</v>
      </c>
      <c r="J50" s="81"/>
      <c r="K50" s="213">
        <f t="shared" si="5"/>
        <v>0</v>
      </c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4"/>
      <c r="AU50" s="214"/>
      <c r="AV50" s="214"/>
      <c r="AW50" s="214"/>
      <c r="AX50" s="214"/>
      <c r="AY50" s="214"/>
      <c r="AZ50" s="214"/>
      <c r="BA50" s="214"/>
      <c r="BB50" s="214"/>
      <c r="BC50" s="214"/>
      <c r="BD50" s="214"/>
      <c r="BE50" s="214"/>
      <c r="BF50" s="214"/>
      <c r="BG50" s="214"/>
      <c r="BH50" s="214"/>
      <c r="BI50" s="214"/>
      <c r="BJ50" s="214"/>
      <c r="BK50" s="214"/>
      <c r="BL50" s="214"/>
      <c r="BM50" s="214"/>
      <c r="BN50" s="214"/>
      <c r="BO50" s="214"/>
      <c r="BP50" s="214"/>
      <c r="BQ50" s="214"/>
      <c r="BR50" s="214"/>
      <c r="BS50" s="214"/>
      <c r="BT50" s="214"/>
      <c r="BU50" s="214"/>
      <c r="BV50" s="214"/>
      <c r="BW50" s="214"/>
      <c r="BX50" s="214"/>
      <c r="BY50" s="214"/>
      <c r="BZ50" s="214"/>
      <c r="CA50" s="214"/>
    </row>
    <row r="51" spans="1:79" s="215" customFormat="1" ht="21" customHeight="1" x14ac:dyDescent="0.25">
      <c r="A51" s="117" t="s">
        <v>120</v>
      </c>
      <c r="B51" s="186" t="s">
        <v>28</v>
      </c>
      <c r="C51" s="186" t="s">
        <v>121</v>
      </c>
      <c r="D51" s="187" t="s">
        <v>122</v>
      </c>
      <c r="E51" s="23" t="s">
        <v>123</v>
      </c>
      <c r="F51" s="209"/>
      <c r="G51" s="210"/>
      <c r="H51" s="211"/>
      <c r="I51" s="212">
        <v>74</v>
      </c>
      <c r="J51" s="81"/>
      <c r="K51" s="213">
        <f t="shared" ref="K51" si="7">G51*I51</f>
        <v>0</v>
      </c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4"/>
      <c r="AX51" s="214"/>
      <c r="AY51" s="214"/>
      <c r="AZ51" s="214"/>
      <c r="BA51" s="214"/>
      <c r="BB51" s="214"/>
      <c r="BC51" s="214"/>
      <c r="BD51" s="214"/>
      <c r="BE51" s="214"/>
      <c r="BF51" s="214"/>
      <c r="BG51" s="214"/>
      <c r="BH51" s="214"/>
      <c r="BI51" s="214"/>
      <c r="BJ51" s="214"/>
      <c r="BK51" s="214"/>
      <c r="BL51" s="214"/>
      <c r="BM51" s="214"/>
      <c r="BN51" s="214"/>
      <c r="BO51" s="214"/>
      <c r="BP51" s="214"/>
      <c r="BQ51" s="214"/>
      <c r="BR51" s="214"/>
      <c r="BS51" s="214"/>
      <c r="BT51" s="214"/>
      <c r="BU51" s="214"/>
      <c r="BV51" s="214"/>
      <c r="BW51" s="214"/>
      <c r="BX51" s="214"/>
      <c r="BY51" s="214"/>
      <c r="BZ51" s="214"/>
      <c r="CA51" s="214"/>
    </row>
    <row r="52" spans="1:79" s="215" customFormat="1" ht="21" customHeight="1" x14ac:dyDescent="0.25">
      <c r="A52" s="117" t="s">
        <v>124</v>
      </c>
      <c r="B52" s="186" t="s">
        <v>28</v>
      </c>
      <c r="C52" s="186" t="s">
        <v>125</v>
      </c>
      <c r="D52" s="187" t="s">
        <v>68</v>
      </c>
      <c r="E52" s="23" t="s">
        <v>126</v>
      </c>
      <c r="F52" s="209"/>
      <c r="G52" s="210"/>
      <c r="H52" s="211"/>
      <c r="I52" s="212">
        <v>80</v>
      </c>
      <c r="J52" s="81"/>
      <c r="K52" s="213">
        <f t="shared" si="5"/>
        <v>0</v>
      </c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214"/>
      <c r="AQ52" s="214"/>
      <c r="AR52" s="214"/>
      <c r="AS52" s="214"/>
      <c r="AT52" s="214"/>
      <c r="AU52" s="214"/>
      <c r="AV52" s="214"/>
      <c r="AW52" s="214"/>
      <c r="AX52" s="214"/>
      <c r="AY52" s="214"/>
      <c r="AZ52" s="214"/>
      <c r="BA52" s="214"/>
      <c r="BB52" s="214"/>
      <c r="BC52" s="214"/>
      <c r="BD52" s="214"/>
      <c r="BE52" s="214"/>
      <c r="BF52" s="214"/>
      <c r="BG52" s="214"/>
      <c r="BH52" s="214"/>
      <c r="BI52" s="214"/>
      <c r="BJ52" s="214"/>
      <c r="BK52" s="214"/>
      <c r="BL52" s="214"/>
      <c r="BM52" s="214"/>
      <c r="BN52" s="214"/>
      <c r="BO52" s="214"/>
      <c r="BP52" s="214"/>
      <c r="BQ52" s="214"/>
      <c r="BR52" s="214"/>
      <c r="BS52" s="214"/>
      <c r="BT52" s="214"/>
      <c r="BU52" s="214"/>
      <c r="BV52" s="214"/>
      <c r="BW52" s="214"/>
      <c r="BX52" s="214"/>
      <c r="BY52" s="214"/>
      <c r="BZ52" s="214"/>
      <c r="CA52" s="214"/>
    </row>
    <row r="53" spans="1:79" s="215" customFormat="1" ht="21" customHeight="1" x14ac:dyDescent="0.25">
      <c r="A53" s="117" t="s">
        <v>120</v>
      </c>
      <c r="B53" s="186" t="s">
        <v>28</v>
      </c>
      <c r="C53" s="186" t="s">
        <v>121</v>
      </c>
      <c r="D53" s="187" t="s">
        <v>127</v>
      </c>
      <c r="E53" s="23" t="s">
        <v>128</v>
      </c>
      <c r="F53" s="209"/>
      <c r="G53" s="210"/>
      <c r="H53" s="211"/>
      <c r="I53" s="212">
        <v>56</v>
      </c>
      <c r="J53" s="81" t="s">
        <v>129</v>
      </c>
      <c r="K53" s="213">
        <f t="shared" si="5"/>
        <v>0</v>
      </c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214"/>
      <c r="AW53" s="214"/>
      <c r="AX53" s="214"/>
      <c r="AY53" s="214"/>
      <c r="AZ53" s="214"/>
      <c r="BA53" s="214"/>
      <c r="BB53" s="214"/>
      <c r="BC53" s="214"/>
      <c r="BD53" s="214"/>
      <c r="BE53" s="214"/>
      <c r="BF53" s="214"/>
      <c r="BG53" s="214"/>
      <c r="BH53" s="214"/>
      <c r="BI53" s="214"/>
      <c r="BJ53" s="214"/>
      <c r="BK53" s="214"/>
      <c r="BL53" s="214"/>
      <c r="BM53" s="214"/>
      <c r="BN53" s="214"/>
      <c r="BO53" s="214"/>
      <c r="BP53" s="214"/>
      <c r="BQ53" s="214"/>
      <c r="BR53" s="214"/>
      <c r="BS53" s="214"/>
      <c r="BT53" s="214"/>
      <c r="BU53" s="214"/>
      <c r="BV53" s="214"/>
      <c r="BW53" s="214"/>
      <c r="BX53" s="214"/>
      <c r="BY53" s="214"/>
      <c r="BZ53" s="214"/>
      <c r="CA53" s="214"/>
    </row>
    <row r="54" spans="1:79" s="215" customFormat="1" ht="21" customHeight="1" x14ac:dyDescent="0.25">
      <c r="A54" s="117" t="s">
        <v>130</v>
      </c>
      <c r="B54" s="186" t="s">
        <v>65</v>
      </c>
      <c r="C54" s="186" t="s">
        <v>131</v>
      </c>
      <c r="D54" s="187" t="s">
        <v>127</v>
      </c>
      <c r="E54" s="23" t="s">
        <v>132</v>
      </c>
      <c r="F54" s="209"/>
      <c r="G54" s="210"/>
      <c r="H54" s="211"/>
      <c r="I54" s="212">
        <v>50</v>
      </c>
      <c r="J54" s="81"/>
      <c r="K54" s="213">
        <f t="shared" si="5"/>
        <v>0</v>
      </c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214"/>
      <c r="AQ54" s="214"/>
      <c r="AR54" s="214"/>
      <c r="AS54" s="214"/>
      <c r="AT54" s="214"/>
      <c r="AU54" s="214"/>
      <c r="AV54" s="214"/>
      <c r="AW54" s="214"/>
      <c r="AX54" s="214"/>
      <c r="AY54" s="214"/>
      <c r="AZ54" s="214"/>
      <c r="BA54" s="214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14"/>
      <c r="BT54" s="214"/>
      <c r="BU54" s="214"/>
      <c r="BV54" s="214"/>
      <c r="BW54" s="214"/>
      <c r="BX54" s="214"/>
      <c r="BY54" s="214"/>
      <c r="BZ54" s="214"/>
      <c r="CA54" s="214"/>
    </row>
    <row r="55" spans="1:79" s="215" customFormat="1" ht="21" customHeight="1" x14ac:dyDescent="0.25">
      <c r="A55" s="117" t="s">
        <v>133</v>
      </c>
      <c r="B55" s="186" t="s">
        <v>65</v>
      </c>
      <c r="C55" s="186" t="s">
        <v>121</v>
      </c>
      <c r="D55" s="187" t="s">
        <v>127</v>
      </c>
      <c r="E55" s="23" t="s">
        <v>134</v>
      </c>
      <c r="F55" s="209"/>
      <c r="G55" s="210"/>
      <c r="H55" s="211"/>
      <c r="I55" s="212">
        <v>40</v>
      </c>
      <c r="J55" s="81"/>
      <c r="K55" s="213">
        <f t="shared" ref="K55" si="8">G55*I55</f>
        <v>0</v>
      </c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214"/>
      <c r="AQ55" s="214"/>
      <c r="AR55" s="214"/>
      <c r="AS55" s="214"/>
      <c r="AT55" s="214"/>
      <c r="AU55" s="214"/>
      <c r="AV55" s="214"/>
      <c r="AW55" s="214"/>
      <c r="AX55" s="214"/>
      <c r="AY55" s="214"/>
      <c r="AZ55" s="214"/>
      <c r="BA55" s="214"/>
      <c r="BB55" s="214"/>
      <c r="BC55" s="214"/>
      <c r="BD55" s="214"/>
      <c r="BE55" s="214"/>
      <c r="BF55" s="214"/>
      <c r="BG55" s="214"/>
      <c r="BH55" s="214"/>
      <c r="BI55" s="214"/>
      <c r="BJ55" s="214"/>
      <c r="BK55" s="214"/>
      <c r="BL55" s="214"/>
      <c r="BM55" s="214"/>
      <c r="BN55" s="214"/>
      <c r="BO55" s="214"/>
      <c r="BP55" s="214"/>
      <c r="BQ55" s="214"/>
      <c r="BR55" s="214"/>
      <c r="BS55" s="214"/>
      <c r="BT55" s="214"/>
      <c r="BU55" s="214"/>
      <c r="BV55" s="214"/>
      <c r="BW55" s="214"/>
      <c r="BX55" s="214"/>
      <c r="BY55" s="214"/>
      <c r="BZ55" s="214"/>
      <c r="CA55" s="214"/>
    </row>
    <row r="56" spans="1:79" s="215" customFormat="1" ht="21" customHeight="1" x14ac:dyDescent="0.25">
      <c r="A56" s="117" t="s">
        <v>135</v>
      </c>
      <c r="B56" s="186" t="s">
        <v>65</v>
      </c>
      <c r="C56" s="186" t="s">
        <v>136</v>
      </c>
      <c r="D56" s="187" t="s">
        <v>118</v>
      </c>
      <c r="E56" s="23" t="s">
        <v>137</v>
      </c>
      <c r="F56" s="209"/>
      <c r="G56" s="210"/>
      <c r="H56" s="211"/>
      <c r="I56" s="212">
        <v>27</v>
      </c>
      <c r="J56" s="81"/>
      <c r="K56" s="213">
        <f>G56*I56</f>
        <v>0</v>
      </c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4"/>
      <c r="AU56" s="214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14"/>
      <c r="BG56" s="214"/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  <c r="BS56" s="214"/>
      <c r="BT56" s="214"/>
      <c r="BU56" s="214"/>
      <c r="BV56" s="214"/>
      <c r="BW56" s="214"/>
      <c r="BX56" s="214"/>
      <c r="BY56" s="214"/>
      <c r="BZ56" s="214"/>
      <c r="CA56" s="214"/>
    </row>
    <row r="57" spans="1:79" s="215" customFormat="1" ht="21" customHeight="1" x14ac:dyDescent="0.25">
      <c r="A57" s="117" t="s">
        <v>135</v>
      </c>
      <c r="B57" s="186" t="s">
        <v>65</v>
      </c>
      <c r="C57" s="186" t="s">
        <v>125</v>
      </c>
      <c r="D57" s="187" t="s">
        <v>127</v>
      </c>
      <c r="E57" s="23" t="s">
        <v>138</v>
      </c>
      <c r="F57" s="209"/>
      <c r="G57" s="210"/>
      <c r="H57" s="211"/>
      <c r="I57" s="212">
        <v>23</v>
      </c>
      <c r="J57" s="81"/>
      <c r="K57" s="213">
        <f>G57*I57</f>
        <v>0</v>
      </c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  <c r="AI57" s="214"/>
      <c r="AJ57" s="214"/>
      <c r="AK57" s="214"/>
      <c r="AL57" s="214"/>
      <c r="AM57" s="214"/>
      <c r="AN57" s="214"/>
      <c r="AO57" s="214"/>
      <c r="AP57" s="214"/>
      <c r="AQ57" s="214"/>
      <c r="AR57" s="214"/>
      <c r="AS57" s="214"/>
      <c r="AT57" s="214"/>
      <c r="AU57" s="214"/>
      <c r="AV57" s="214"/>
      <c r="AW57" s="214"/>
      <c r="AX57" s="214"/>
      <c r="AY57" s="214"/>
      <c r="AZ57" s="214"/>
      <c r="BA57" s="214"/>
      <c r="BB57" s="214"/>
      <c r="BC57" s="214"/>
      <c r="BD57" s="214"/>
      <c r="BE57" s="214"/>
      <c r="BF57" s="214"/>
      <c r="BG57" s="214"/>
      <c r="BH57" s="214"/>
      <c r="BI57" s="214"/>
      <c r="BJ57" s="214"/>
      <c r="BK57" s="214"/>
      <c r="BL57" s="214"/>
      <c r="BM57" s="214"/>
      <c r="BN57" s="214"/>
      <c r="BO57" s="214"/>
      <c r="BP57" s="214"/>
      <c r="BQ57" s="214"/>
      <c r="BR57" s="214"/>
      <c r="BS57" s="214"/>
      <c r="BT57" s="214"/>
      <c r="BU57" s="214"/>
      <c r="BV57" s="214"/>
      <c r="BW57" s="214"/>
      <c r="BX57" s="214"/>
      <c r="BY57" s="214"/>
      <c r="BZ57" s="214"/>
      <c r="CA57" s="214"/>
    </row>
    <row r="58" spans="1:79" s="215" customFormat="1" ht="21" customHeight="1" x14ac:dyDescent="0.25">
      <c r="A58" s="117" t="s">
        <v>139</v>
      </c>
      <c r="B58" s="186" t="s">
        <v>28</v>
      </c>
      <c r="C58" s="186" t="s">
        <v>140</v>
      </c>
      <c r="D58" s="187" t="s">
        <v>141</v>
      </c>
      <c r="E58" s="23" t="s">
        <v>142</v>
      </c>
      <c r="F58" s="209"/>
      <c r="G58" s="210"/>
      <c r="H58" s="211"/>
      <c r="I58" s="212">
        <v>58</v>
      </c>
      <c r="J58" s="81"/>
      <c r="K58" s="213">
        <f t="shared" si="5"/>
        <v>0</v>
      </c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H58" s="214"/>
      <c r="AI58" s="214"/>
      <c r="AJ58" s="214"/>
      <c r="AK58" s="214"/>
      <c r="AL58" s="214"/>
      <c r="AM58" s="214"/>
      <c r="AN58" s="214"/>
      <c r="AO58" s="214"/>
      <c r="AP58" s="214"/>
      <c r="AQ58" s="214"/>
      <c r="AR58" s="214"/>
      <c r="AS58" s="214"/>
      <c r="AT58" s="214"/>
      <c r="AU58" s="214"/>
      <c r="AV58" s="214"/>
      <c r="AW58" s="214"/>
      <c r="AX58" s="214"/>
      <c r="AY58" s="214"/>
      <c r="AZ58" s="214"/>
      <c r="BA58" s="214"/>
      <c r="BB58" s="214"/>
      <c r="BC58" s="214"/>
      <c r="BD58" s="214"/>
      <c r="BE58" s="214"/>
      <c r="BF58" s="214"/>
      <c r="BG58" s="214"/>
      <c r="BH58" s="214"/>
      <c r="BI58" s="214"/>
      <c r="BJ58" s="214"/>
      <c r="BK58" s="214"/>
      <c r="BL58" s="214"/>
      <c r="BM58" s="214"/>
      <c r="BN58" s="214"/>
      <c r="BO58" s="214"/>
      <c r="BP58" s="214"/>
      <c r="BQ58" s="214"/>
      <c r="BR58" s="214"/>
      <c r="BS58" s="214"/>
      <c r="BT58" s="214"/>
      <c r="BU58" s="214"/>
      <c r="BV58" s="214"/>
      <c r="BW58" s="214"/>
      <c r="BX58" s="214"/>
      <c r="BY58" s="214"/>
      <c r="BZ58" s="214"/>
      <c r="CA58" s="214"/>
    </row>
    <row r="59" spans="1:79" s="215" customFormat="1" ht="21" customHeight="1" x14ac:dyDescent="0.25">
      <c r="A59" s="117" t="s">
        <v>139</v>
      </c>
      <c r="B59" s="186" t="s">
        <v>28</v>
      </c>
      <c r="C59" s="186" t="s">
        <v>143</v>
      </c>
      <c r="D59" s="187" t="s">
        <v>144</v>
      </c>
      <c r="E59" s="23" t="s">
        <v>145</v>
      </c>
      <c r="F59" s="209"/>
      <c r="G59" s="210"/>
      <c r="H59" s="211"/>
      <c r="I59" s="212">
        <v>47</v>
      </c>
      <c r="J59" s="81"/>
      <c r="K59" s="213">
        <f t="shared" ref="K59:K61" si="9">G59*I59</f>
        <v>0</v>
      </c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  <c r="AD59" s="214"/>
      <c r="AE59" s="214"/>
      <c r="AF59" s="214"/>
      <c r="AG59" s="214"/>
      <c r="AH59" s="214"/>
      <c r="AI59" s="214"/>
      <c r="AJ59" s="214"/>
      <c r="AK59" s="214"/>
      <c r="AL59" s="214"/>
      <c r="AM59" s="214"/>
      <c r="AN59" s="214"/>
      <c r="AO59" s="214"/>
      <c r="AP59" s="214"/>
      <c r="AQ59" s="214"/>
      <c r="AR59" s="214"/>
      <c r="AS59" s="214"/>
      <c r="AT59" s="214"/>
      <c r="AU59" s="214"/>
      <c r="AV59" s="214"/>
      <c r="AW59" s="214"/>
      <c r="AX59" s="214"/>
      <c r="AY59" s="214"/>
      <c r="AZ59" s="214"/>
      <c r="BA59" s="214"/>
      <c r="BB59" s="214"/>
      <c r="BC59" s="214"/>
      <c r="BD59" s="214"/>
      <c r="BE59" s="214"/>
      <c r="BF59" s="214"/>
      <c r="BG59" s="214"/>
      <c r="BH59" s="214"/>
      <c r="BI59" s="214"/>
      <c r="BJ59" s="214"/>
      <c r="BK59" s="214"/>
      <c r="BL59" s="214"/>
      <c r="BM59" s="214"/>
      <c r="BN59" s="214"/>
      <c r="BO59" s="214"/>
      <c r="BP59" s="214"/>
      <c r="BQ59" s="214"/>
      <c r="BR59" s="214"/>
      <c r="BS59" s="214"/>
      <c r="BT59" s="214"/>
      <c r="BU59" s="214"/>
      <c r="BV59" s="214"/>
      <c r="BW59" s="214"/>
      <c r="BX59" s="214"/>
      <c r="BY59" s="214"/>
      <c r="BZ59" s="214"/>
      <c r="CA59" s="214"/>
    </row>
    <row r="60" spans="1:79" s="215" customFormat="1" ht="21" customHeight="1" x14ac:dyDescent="0.25">
      <c r="A60" s="117" t="s">
        <v>146</v>
      </c>
      <c r="B60" s="186" t="s">
        <v>28</v>
      </c>
      <c r="C60" s="186" t="s">
        <v>147</v>
      </c>
      <c r="D60" s="187" t="s">
        <v>148</v>
      </c>
      <c r="E60" s="23" t="s">
        <v>149</v>
      </c>
      <c r="F60" s="209"/>
      <c r="G60" s="210"/>
      <c r="H60" s="211"/>
      <c r="I60" s="212">
        <v>40</v>
      </c>
      <c r="J60" s="81"/>
      <c r="K60" s="213">
        <f t="shared" si="9"/>
        <v>0</v>
      </c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H60" s="214"/>
      <c r="AI60" s="214"/>
      <c r="AJ60" s="214"/>
      <c r="AK60" s="214"/>
      <c r="AL60" s="214"/>
      <c r="AM60" s="214"/>
      <c r="AN60" s="214"/>
      <c r="AO60" s="214"/>
      <c r="AP60" s="214"/>
      <c r="AQ60" s="214"/>
      <c r="AR60" s="214"/>
      <c r="AS60" s="214"/>
      <c r="AT60" s="214"/>
      <c r="AU60" s="214"/>
      <c r="AV60" s="214"/>
      <c r="AW60" s="214"/>
      <c r="AX60" s="214"/>
      <c r="AY60" s="214"/>
      <c r="AZ60" s="214"/>
      <c r="BA60" s="214"/>
      <c r="BB60" s="214"/>
      <c r="BC60" s="214"/>
      <c r="BD60" s="214"/>
      <c r="BE60" s="214"/>
      <c r="BF60" s="214"/>
      <c r="BG60" s="214"/>
      <c r="BH60" s="214"/>
      <c r="BI60" s="214"/>
      <c r="BJ60" s="214"/>
      <c r="BK60" s="214"/>
      <c r="BL60" s="214"/>
      <c r="BM60" s="214"/>
      <c r="BN60" s="214"/>
      <c r="BO60" s="214"/>
      <c r="BP60" s="214"/>
      <c r="BQ60" s="214"/>
      <c r="BR60" s="214"/>
      <c r="BS60" s="214"/>
      <c r="BT60" s="214"/>
      <c r="BU60" s="214"/>
      <c r="BV60" s="214"/>
      <c r="BW60" s="214"/>
      <c r="BX60" s="214"/>
      <c r="BY60" s="214"/>
      <c r="BZ60" s="214"/>
      <c r="CA60" s="214"/>
    </row>
    <row r="61" spans="1:79" s="215" customFormat="1" ht="21" customHeight="1" x14ac:dyDescent="0.25">
      <c r="A61" s="117" t="s">
        <v>150</v>
      </c>
      <c r="B61" s="186" t="s">
        <v>65</v>
      </c>
      <c r="C61" s="186" t="s">
        <v>90</v>
      </c>
      <c r="D61" s="187" t="s">
        <v>91</v>
      </c>
      <c r="E61" s="23" t="s">
        <v>151</v>
      </c>
      <c r="F61" s="209"/>
      <c r="G61" s="210"/>
      <c r="H61" s="211"/>
      <c r="I61" s="212">
        <v>27</v>
      </c>
      <c r="J61" s="81"/>
      <c r="K61" s="213">
        <f t="shared" si="9"/>
        <v>0</v>
      </c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  <c r="AH61" s="214"/>
      <c r="AI61" s="214"/>
      <c r="AJ61" s="214"/>
      <c r="AK61" s="214"/>
      <c r="AL61" s="214"/>
      <c r="AM61" s="214"/>
      <c r="AN61" s="214"/>
      <c r="AO61" s="214"/>
      <c r="AP61" s="214"/>
      <c r="AQ61" s="214"/>
      <c r="AR61" s="214"/>
      <c r="AS61" s="214"/>
      <c r="AT61" s="214"/>
      <c r="AU61" s="214"/>
      <c r="AV61" s="214"/>
      <c r="AW61" s="214"/>
      <c r="AX61" s="214"/>
      <c r="AY61" s="214"/>
      <c r="AZ61" s="214"/>
      <c r="BA61" s="214"/>
      <c r="BB61" s="214"/>
      <c r="BC61" s="214"/>
      <c r="BD61" s="214"/>
      <c r="BE61" s="214"/>
      <c r="BF61" s="214"/>
      <c r="BG61" s="214"/>
      <c r="BH61" s="214"/>
      <c r="BI61" s="214"/>
      <c r="BJ61" s="214"/>
      <c r="BK61" s="214"/>
      <c r="BL61" s="214"/>
      <c r="BM61" s="214"/>
      <c r="BN61" s="214"/>
      <c r="BO61" s="214"/>
      <c r="BP61" s="214"/>
      <c r="BQ61" s="214"/>
      <c r="BR61" s="214"/>
      <c r="BS61" s="214"/>
      <c r="BT61" s="214"/>
      <c r="BU61" s="214"/>
      <c r="BV61" s="214"/>
      <c r="BW61" s="214"/>
      <c r="BX61" s="214"/>
      <c r="BY61" s="214"/>
      <c r="BZ61" s="214"/>
      <c r="CA61" s="214"/>
    </row>
    <row r="62" spans="1:79" s="215" customFormat="1" ht="21" customHeight="1" x14ac:dyDescent="0.25">
      <c r="A62" s="117" t="s">
        <v>1277</v>
      </c>
      <c r="B62" s="186" t="s">
        <v>187</v>
      </c>
      <c r="C62" s="186" t="s">
        <v>1278</v>
      </c>
      <c r="D62" s="187" t="s">
        <v>61</v>
      </c>
      <c r="E62" s="23" t="s">
        <v>1279</v>
      </c>
      <c r="F62" s="209"/>
      <c r="G62" s="210"/>
      <c r="H62" s="211"/>
      <c r="I62" s="212">
        <v>67</v>
      </c>
      <c r="J62" s="81"/>
      <c r="K62" s="213">
        <f>G62*I62</f>
        <v>0</v>
      </c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  <c r="AH62" s="214"/>
      <c r="AI62" s="214"/>
      <c r="AJ62" s="214"/>
      <c r="AK62" s="214"/>
      <c r="AL62" s="214"/>
      <c r="AM62" s="214"/>
      <c r="AN62" s="214"/>
      <c r="AO62" s="214"/>
      <c r="AP62" s="214"/>
      <c r="AQ62" s="214"/>
      <c r="AR62" s="214"/>
      <c r="AS62" s="214"/>
      <c r="AT62" s="214"/>
      <c r="AU62" s="214"/>
      <c r="AV62" s="214"/>
      <c r="AW62" s="214"/>
      <c r="AX62" s="214"/>
      <c r="AY62" s="214"/>
      <c r="AZ62" s="214"/>
      <c r="BA62" s="214"/>
      <c r="BB62" s="214"/>
      <c r="BC62" s="214"/>
      <c r="BD62" s="214"/>
      <c r="BE62" s="214"/>
      <c r="BF62" s="214"/>
      <c r="BG62" s="214"/>
      <c r="BH62" s="214"/>
      <c r="BI62" s="214"/>
      <c r="BJ62" s="214"/>
      <c r="BK62" s="214"/>
      <c r="BL62" s="214"/>
      <c r="BM62" s="214"/>
      <c r="BN62" s="214"/>
      <c r="BO62" s="214"/>
      <c r="BP62" s="214"/>
      <c r="BQ62" s="214"/>
      <c r="BR62" s="214"/>
      <c r="BS62" s="214"/>
      <c r="BT62" s="214"/>
      <c r="BU62" s="214"/>
      <c r="BV62" s="214"/>
      <c r="BW62" s="214"/>
      <c r="BX62" s="214"/>
      <c r="BY62" s="214"/>
      <c r="BZ62" s="214"/>
      <c r="CA62" s="214"/>
    </row>
    <row r="63" spans="1:79" s="215" customFormat="1" ht="21" customHeight="1" x14ac:dyDescent="0.25">
      <c r="A63" s="117" t="s">
        <v>152</v>
      </c>
      <c r="B63" s="186" t="s">
        <v>28</v>
      </c>
      <c r="C63" s="186" t="s">
        <v>66</v>
      </c>
      <c r="D63" s="187" t="s">
        <v>153</v>
      </c>
      <c r="E63" s="23" t="s">
        <v>154</v>
      </c>
      <c r="F63" s="209"/>
      <c r="G63" s="210"/>
      <c r="H63" s="211"/>
      <c r="I63" s="212">
        <v>82</v>
      </c>
      <c r="J63" s="81"/>
      <c r="K63" s="213">
        <f t="shared" si="5"/>
        <v>0</v>
      </c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4"/>
      <c r="AO63" s="214"/>
      <c r="AP63" s="214"/>
      <c r="AQ63" s="214"/>
      <c r="AR63" s="214"/>
      <c r="AS63" s="214"/>
      <c r="AT63" s="214"/>
      <c r="AU63" s="214"/>
      <c r="AV63" s="214"/>
      <c r="AW63" s="214"/>
      <c r="AX63" s="214"/>
      <c r="AY63" s="214"/>
      <c r="AZ63" s="214"/>
      <c r="BA63" s="214"/>
      <c r="BB63" s="214"/>
      <c r="BC63" s="214"/>
      <c r="BD63" s="214"/>
      <c r="BE63" s="214"/>
      <c r="BF63" s="214"/>
      <c r="BG63" s="214"/>
      <c r="BH63" s="214"/>
      <c r="BI63" s="214"/>
      <c r="BJ63" s="214"/>
      <c r="BK63" s="214"/>
      <c r="BL63" s="214"/>
      <c r="BM63" s="214"/>
      <c r="BN63" s="214"/>
      <c r="BO63" s="214"/>
      <c r="BP63" s="214"/>
      <c r="BQ63" s="214"/>
      <c r="BR63" s="214"/>
      <c r="BS63" s="214"/>
      <c r="BT63" s="214"/>
      <c r="BU63" s="214"/>
      <c r="BV63" s="214"/>
      <c r="BW63" s="214"/>
      <c r="BX63" s="214"/>
      <c r="BY63" s="214"/>
      <c r="BZ63" s="214"/>
      <c r="CA63" s="214"/>
    </row>
    <row r="64" spans="1:79" s="215" customFormat="1" ht="21" customHeight="1" x14ac:dyDescent="0.25">
      <c r="A64" s="117" t="s">
        <v>155</v>
      </c>
      <c r="B64" s="186" t="s">
        <v>28</v>
      </c>
      <c r="C64" s="186" t="s">
        <v>66</v>
      </c>
      <c r="D64" s="187" t="s">
        <v>153</v>
      </c>
      <c r="E64" s="23" t="s">
        <v>156</v>
      </c>
      <c r="F64" s="209"/>
      <c r="G64" s="210"/>
      <c r="H64" s="211"/>
      <c r="I64" s="212">
        <v>60</v>
      </c>
      <c r="J64" s="81"/>
      <c r="K64" s="213">
        <f t="shared" ref="K64:K65" si="10">G64*I64</f>
        <v>0</v>
      </c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  <c r="AA64" s="214"/>
      <c r="AB64" s="214"/>
      <c r="AC64" s="214"/>
      <c r="AD64" s="214"/>
      <c r="AE64" s="214"/>
      <c r="AF64" s="214"/>
      <c r="AG64" s="214"/>
      <c r="AH64" s="214"/>
      <c r="AI64" s="214"/>
      <c r="AJ64" s="214"/>
      <c r="AK64" s="214"/>
      <c r="AL64" s="214"/>
      <c r="AM64" s="214"/>
      <c r="AN64" s="214"/>
      <c r="AO64" s="214"/>
      <c r="AP64" s="214"/>
      <c r="AQ64" s="214"/>
      <c r="AR64" s="214"/>
      <c r="AS64" s="214"/>
      <c r="AT64" s="214"/>
      <c r="AU64" s="214"/>
      <c r="AV64" s="214"/>
      <c r="AW64" s="214"/>
      <c r="AX64" s="214"/>
      <c r="AY64" s="214"/>
      <c r="AZ64" s="214"/>
      <c r="BA64" s="214"/>
      <c r="BB64" s="214"/>
      <c r="BC64" s="214"/>
      <c r="BD64" s="214"/>
      <c r="BE64" s="214"/>
      <c r="BF64" s="214"/>
      <c r="BG64" s="214"/>
      <c r="BH64" s="214"/>
      <c r="BI64" s="214"/>
      <c r="BJ64" s="214"/>
      <c r="BK64" s="214"/>
      <c r="BL64" s="214"/>
      <c r="BM64" s="214"/>
      <c r="BN64" s="214"/>
      <c r="BO64" s="214"/>
      <c r="BP64" s="214"/>
      <c r="BQ64" s="214"/>
      <c r="BR64" s="214"/>
      <c r="BS64" s="214"/>
      <c r="BT64" s="214"/>
      <c r="BU64" s="214"/>
      <c r="BV64" s="214"/>
      <c r="BW64" s="214"/>
      <c r="BX64" s="214"/>
      <c r="BY64" s="214"/>
      <c r="BZ64" s="214"/>
      <c r="CA64" s="214"/>
    </row>
    <row r="65" spans="1:79" s="215" customFormat="1" ht="21" customHeight="1" x14ac:dyDescent="0.25">
      <c r="A65" s="117" t="s">
        <v>157</v>
      </c>
      <c r="B65" s="186" t="s">
        <v>50</v>
      </c>
      <c r="C65" s="186" t="s">
        <v>51</v>
      </c>
      <c r="D65" s="187" t="s">
        <v>91</v>
      </c>
      <c r="E65" s="23" t="s">
        <v>158</v>
      </c>
      <c r="F65" s="209"/>
      <c r="G65" s="210"/>
      <c r="H65" s="211"/>
      <c r="I65" s="212">
        <v>9</v>
      </c>
      <c r="J65" s="81"/>
      <c r="K65" s="213">
        <f t="shared" si="10"/>
        <v>0</v>
      </c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4"/>
      <c r="AB65" s="214"/>
      <c r="AC65" s="214"/>
      <c r="AD65" s="214"/>
      <c r="AE65" s="214"/>
      <c r="AF65" s="214"/>
      <c r="AG65" s="214"/>
      <c r="AH65" s="214"/>
      <c r="AI65" s="214"/>
      <c r="AJ65" s="214"/>
      <c r="AK65" s="214"/>
      <c r="AL65" s="214"/>
      <c r="AM65" s="214"/>
      <c r="AN65" s="214"/>
      <c r="AO65" s="214"/>
      <c r="AP65" s="214"/>
      <c r="AQ65" s="214"/>
      <c r="AR65" s="214"/>
      <c r="AS65" s="214"/>
      <c r="AT65" s="214"/>
      <c r="AU65" s="214"/>
      <c r="AV65" s="214"/>
      <c r="AW65" s="214"/>
      <c r="AX65" s="214"/>
      <c r="AY65" s="214"/>
      <c r="AZ65" s="214"/>
      <c r="BA65" s="214"/>
      <c r="BB65" s="214"/>
      <c r="BC65" s="214"/>
      <c r="BD65" s="214"/>
      <c r="BE65" s="214"/>
      <c r="BF65" s="214"/>
      <c r="BG65" s="214"/>
      <c r="BH65" s="214"/>
      <c r="BI65" s="214"/>
      <c r="BJ65" s="214"/>
      <c r="BK65" s="214"/>
      <c r="BL65" s="214"/>
      <c r="BM65" s="214"/>
      <c r="BN65" s="214"/>
      <c r="BO65" s="214"/>
      <c r="BP65" s="214"/>
      <c r="BQ65" s="214"/>
      <c r="BR65" s="214"/>
      <c r="BS65" s="214"/>
      <c r="BT65" s="214"/>
      <c r="BU65" s="214"/>
      <c r="BV65" s="214"/>
      <c r="BW65" s="214"/>
      <c r="BX65" s="214"/>
      <c r="BY65" s="214"/>
      <c r="BZ65" s="214"/>
      <c r="CA65" s="214"/>
    </row>
    <row r="66" spans="1:79" s="215" customFormat="1" ht="21" customHeight="1" x14ac:dyDescent="0.25">
      <c r="A66" s="117" t="s">
        <v>159</v>
      </c>
      <c r="B66" s="186" t="s">
        <v>28</v>
      </c>
      <c r="C66" s="186" t="s">
        <v>105</v>
      </c>
      <c r="D66" s="187" t="s">
        <v>1290</v>
      </c>
      <c r="E66" s="23" t="s">
        <v>1291</v>
      </c>
      <c r="F66" s="209"/>
      <c r="G66" s="210"/>
      <c r="H66" s="211"/>
      <c r="I66" s="212">
        <v>30</v>
      </c>
      <c r="J66" s="81"/>
      <c r="K66" s="213">
        <f t="shared" si="5"/>
        <v>0</v>
      </c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4"/>
      <c r="AB66" s="214"/>
      <c r="AC66" s="214"/>
      <c r="AD66" s="214"/>
      <c r="AE66" s="214"/>
      <c r="AF66" s="214"/>
      <c r="AG66" s="214"/>
      <c r="AH66" s="214"/>
      <c r="AI66" s="214"/>
      <c r="AJ66" s="214"/>
      <c r="AK66" s="214"/>
      <c r="AL66" s="214"/>
      <c r="AM66" s="214"/>
      <c r="AN66" s="214"/>
      <c r="AO66" s="214"/>
      <c r="AP66" s="214"/>
      <c r="AQ66" s="214"/>
      <c r="AR66" s="214"/>
      <c r="AS66" s="214"/>
      <c r="AT66" s="214"/>
      <c r="AU66" s="214"/>
      <c r="AV66" s="214"/>
      <c r="AW66" s="214"/>
      <c r="AX66" s="214"/>
      <c r="AY66" s="214"/>
      <c r="AZ66" s="214"/>
      <c r="BA66" s="214"/>
      <c r="BB66" s="214"/>
      <c r="BC66" s="214"/>
      <c r="BD66" s="214"/>
      <c r="BE66" s="214"/>
      <c r="BF66" s="214"/>
      <c r="BG66" s="214"/>
      <c r="BH66" s="214"/>
      <c r="BI66" s="214"/>
      <c r="BJ66" s="214"/>
      <c r="BK66" s="214"/>
      <c r="BL66" s="214"/>
      <c r="BM66" s="214"/>
      <c r="BN66" s="214"/>
      <c r="BO66" s="214"/>
      <c r="BP66" s="214"/>
      <c r="BQ66" s="214"/>
      <c r="BR66" s="214"/>
      <c r="BS66" s="214"/>
      <c r="BT66" s="214"/>
      <c r="BU66" s="214"/>
      <c r="BV66" s="214"/>
      <c r="BW66" s="214"/>
      <c r="BX66" s="214"/>
      <c r="BY66" s="214"/>
      <c r="BZ66" s="214"/>
      <c r="CA66" s="214"/>
    </row>
    <row r="67" spans="1:79" s="215" customFormat="1" ht="21" customHeight="1" x14ac:dyDescent="0.25">
      <c r="A67" s="117" t="s">
        <v>160</v>
      </c>
      <c r="B67" s="186" t="s">
        <v>50</v>
      </c>
      <c r="C67" s="186" t="s">
        <v>51</v>
      </c>
      <c r="D67" s="187" t="s">
        <v>161</v>
      </c>
      <c r="E67" s="23" t="s">
        <v>162</v>
      </c>
      <c r="F67" s="209"/>
      <c r="G67" s="210"/>
      <c r="H67" s="211"/>
      <c r="I67" s="212">
        <v>3.5</v>
      </c>
      <c r="J67" s="81" t="s">
        <v>163</v>
      </c>
      <c r="K67" s="213">
        <f t="shared" si="5"/>
        <v>0</v>
      </c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4"/>
      <c r="AB67" s="214"/>
      <c r="AC67" s="214"/>
      <c r="AD67" s="214"/>
      <c r="AE67" s="214"/>
      <c r="AF67" s="214"/>
      <c r="AG67" s="214"/>
      <c r="AH67" s="214"/>
      <c r="AI67" s="214"/>
      <c r="AJ67" s="214"/>
      <c r="AK67" s="214"/>
      <c r="AL67" s="214"/>
      <c r="AM67" s="214"/>
      <c r="AN67" s="214"/>
      <c r="AO67" s="214"/>
      <c r="AP67" s="214"/>
      <c r="AQ67" s="214"/>
      <c r="AR67" s="214"/>
      <c r="AS67" s="214"/>
      <c r="AT67" s="214"/>
      <c r="AU67" s="214"/>
      <c r="AV67" s="214"/>
      <c r="AW67" s="214"/>
      <c r="AX67" s="214"/>
      <c r="AY67" s="214"/>
      <c r="AZ67" s="214"/>
      <c r="BA67" s="214"/>
      <c r="BB67" s="214"/>
      <c r="BC67" s="214"/>
      <c r="BD67" s="214"/>
      <c r="BE67" s="214"/>
      <c r="BF67" s="214"/>
      <c r="BG67" s="214"/>
      <c r="BH67" s="214"/>
      <c r="BI67" s="214"/>
      <c r="BJ67" s="214"/>
      <c r="BK67" s="214"/>
      <c r="BL67" s="214"/>
      <c r="BM67" s="214"/>
      <c r="BN67" s="214"/>
      <c r="BO67" s="214"/>
      <c r="BP67" s="214"/>
      <c r="BQ67" s="214"/>
      <c r="BR67" s="214"/>
      <c r="BS67" s="214"/>
      <c r="BT67" s="214"/>
      <c r="BU67" s="214"/>
      <c r="BV67" s="214"/>
      <c r="BW67" s="214"/>
      <c r="BX67" s="214"/>
      <c r="BY67" s="214"/>
      <c r="BZ67" s="214"/>
      <c r="CA67" s="214"/>
    </row>
    <row r="68" spans="1:79" s="215" customFormat="1" ht="21" customHeight="1" x14ac:dyDescent="0.25">
      <c r="A68" s="117" t="s">
        <v>164</v>
      </c>
      <c r="B68" s="186" t="s">
        <v>45</v>
      </c>
      <c r="C68" s="186" t="s">
        <v>46</v>
      </c>
      <c r="D68" s="187" t="s">
        <v>165</v>
      </c>
      <c r="E68" s="23" t="s">
        <v>166</v>
      </c>
      <c r="F68" s="209"/>
      <c r="G68" s="210"/>
      <c r="H68" s="211"/>
      <c r="I68" s="212">
        <v>60</v>
      </c>
      <c r="J68" s="81"/>
      <c r="K68" s="213">
        <f>G68*I68</f>
        <v>0</v>
      </c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4"/>
      <c r="AF68" s="214"/>
      <c r="AG68" s="214"/>
      <c r="AH68" s="214"/>
      <c r="AI68" s="214"/>
      <c r="AJ68" s="214"/>
      <c r="AK68" s="214"/>
      <c r="AL68" s="214"/>
      <c r="AM68" s="214"/>
      <c r="AN68" s="214"/>
      <c r="AO68" s="214"/>
      <c r="AP68" s="214"/>
      <c r="AQ68" s="214"/>
      <c r="AR68" s="214"/>
      <c r="AS68" s="214"/>
      <c r="AT68" s="214"/>
      <c r="AU68" s="214"/>
      <c r="AV68" s="214"/>
      <c r="AW68" s="214"/>
      <c r="AX68" s="214"/>
      <c r="AY68" s="214"/>
      <c r="AZ68" s="214"/>
      <c r="BA68" s="214"/>
      <c r="BB68" s="214"/>
      <c r="BC68" s="214"/>
      <c r="BD68" s="214"/>
      <c r="BE68" s="214"/>
      <c r="BF68" s="214"/>
      <c r="BG68" s="214"/>
      <c r="BH68" s="214"/>
      <c r="BI68" s="214"/>
      <c r="BJ68" s="214"/>
      <c r="BK68" s="214"/>
      <c r="BL68" s="214"/>
      <c r="BM68" s="214"/>
      <c r="BN68" s="214"/>
      <c r="BO68" s="214"/>
      <c r="BP68" s="214"/>
      <c r="BQ68" s="214"/>
      <c r="BR68" s="214"/>
      <c r="BS68" s="214"/>
      <c r="BT68" s="214"/>
      <c r="BU68" s="214"/>
      <c r="BV68" s="214"/>
      <c r="BW68" s="214"/>
      <c r="BX68" s="214"/>
      <c r="BY68" s="214"/>
      <c r="BZ68" s="214"/>
      <c r="CA68" s="214"/>
    </row>
    <row r="69" spans="1:79" s="215" customFormat="1" ht="21" customHeight="1" x14ac:dyDescent="0.25">
      <c r="A69" s="117" t="s">
        <v>167</v>
      </c>
      <c r="B69" s="186" t="s">
        <v>45</v>
      </c>
      <c r="C69" s="186" t="s">
        <v>46</v>
      </c>
      <c r="D69" s="187" t="s">
        <v>168</v>
      </c>
      <c r="E69" s="23" t="s">
        <v>169</v>
      </c>
      <c r="F69" s="209"/>
      <c r="G69" s="210"/>
      <c r="H69" s="211"/>
      <c r="I69" s="212">
        <v>60</v>
      </c>
      <c r="J69" s="81" t="s">
        <v>170</v>
      </c>
      <c r="K69" s="213">
        <f>G69*I69</f>
        <v>0</v>
      </c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4"/>
      <c r="AF69" s="214"/>
      <c r="AG69" s="214"/>
      <c r="AH69" s="214"/>
      <c r="AI69" s="214"/>
      <c r="AJ69" s="214"/>
      <c r="AK69" s="214"/>
      <c r="AL69" s="214"/>
      <c r="AM69" s="214"/>
      <c r="AN69" s="214"/>
      <c r="AO69" s="214"/>
      <c r="AP69" s="214"/>
      <c r="AQ69" s="214"/>
      <c r="AR69" s="214"/>
      <c r="AS69" s="214"/>
      <c r="AT69" s="214"/>
      <c r="AU69" s="214"/>
      <c r="AV69" s="214"/>
      <c r="AW69" s="214"/>
      <c r="AX69" s="214"/>
      <c r="AY69" s="214"/>
      <c r="AZ69" s="214"/>
      <c r="BA69" s="214"/>
      <c r="BB69" s="214"/>
      <c r="BC69" s="214"/>
      <c r="BD69" s="214"/>
      <c r="BE69" s="214"/>
      <c r="BF69" s="214"/>
      <c r="BG69" s="214"/>
      <c r="BH69" s="214"/>
      <c r="BI69" s="214"/>
      <c r="BJ69" s="214"/>
      <c r="BK69" s="214"/>
      <c r="BL69" s="214"/>
      <c r="BM69" s="214"/>
      <c r="BN69" s="214"/>
      <c r="BO69" s="214"/>
      <c r="BP69" s="214"/>
      <c r="BQ69" s="214"/>
      <c r="BR69" s="214"/>
      <c r="BS69" s="214"/>
      <c r="BT69" s="214"/>
      <c r="BU69" s="214"/>
      <c r="BV69" s="214"/>
      <c r="BW69" s="214"/>
      <c r="BX69" s="214"/>
      <c r="BY69" s="214"/>
      <c r="BZ69" s="214"/>
      <c r="CA69" s="214"/>
    </row>
    <row r="70" spans="1:79" s="215" customFormat="1" ht="21" customHeight="1" x14ac:dyDescent="0.25">
      <c r="A70" s="117" t="s">
        <v>171</v>
      </c>
      <c r="B70" s="186" t="s">
        <v>45</v>
      </c>
      <c r="C70" s="186" t="s">
        <v>172</v>
      </c>
      <c r="D70" s="187" t="s">
        <v>1280</v>
      </c>
      <c r="E70" s="23" t="s">
        <v>1281</v>
      </c>
      <c r="F70" s="209"/>
      <c r="G70" s="210"/>
      <c r="H70" s="211"/>
      <c r="I70" s="212">
        <v>21</v>
      </c>
      <c r="J70" s="81" t="s">
        <v>173</v>
      </c>
      <c r="K70" s="213">
        <f t="shared" si="5"/>
        <v>0</v>
      </c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  <c r="AF70" s="214"/>
      <c r="AG70" s="214"/>
      <c r="AH70" s="214"/>
      <c r="AI70" s="214"/>
      <c r="AJ70" s="214"/>
      <c r="AK70" s="214"/>
      <c r="AL70" s="214"/>
      <c r="AM70" s="214"/>
      <c r="AN70" s="214"/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  <c r="BA70" s="214"/>
      <c r="BB70" s="214"/>
      <c r="BC70" s="214"/>
      <c r="BD70" s="214"/>
      <c r="BE70" s="214"/>
      <c r="BF70" s="214"/>
      <c r="BG70" s="214"/>
      <c r="BH70" s="214"/>
      <c r="BI70" s="214"/>
      <c r="BJ70" s="214"/>
      <c r="BK70" s="214"/>
      <c r="BL70" s="214"/>
      <c r="BM70" s="214"/>
      <c r="BN70" s="214"/>
      <c r="BO70" s="214"/>
      <c r="BP70" s="214"/>
      <c r="BQ70" s="214"/>
      <c r="BR70" s="214"/>
      <c r="BS70" s="214"/>
      <c r="BT70" s="214"/>
      <c r="BU70" s="214"/>
      <c r="BV70" s="214"/>
      <c r="BW70" s="214"/>
      <c r="BX70" s="214"/>
      <c r="BY70" s="214"/>
      <c r="BZ70" s="214"/>
      <c r="CA70" s="214"/>
    </row>
    <row r="71" spans="1:79" s="215" customFormat="1" ht="21" customHeight="1" x14ac:dyDescent="0.25">
      <c r="A71" s="117" t="s">
        <v>174</v>
      </c>
      <c r="B71" s="186" t="s">
        <v>50</v>
      </c>
      <c r="C71" s="186" t="s">
        <v>79</v>
      </c>
      <c r="D71" s="187" t="s">
        <v>175</v>
      </c>
      <c r="E71" s="23" t="s">
        <v>176</v>
      </c>
      <c r="F71" s="209"/>
      <c r="G71" s="210"/>
      <c r="H71" s="211"/>
      <c r="I71" s="212">
        <v>2.4</v>
      </c>
      <c r="J71" s="81" t="s">
        <v>1294</v>
      </c>
      <c r="K71" s="213">
        <f t="shared" si="5"/>
        <v>0</v>
      </c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4"/>
      <c r="AF71" s="214"/>
      <c r="AG71" s="214"/>
      <c r="AH71" s="214"/>
      <c r="AI71" s="214"/>
      <c r="AJ71" s="214"/>
      <c r="AK71" s="214"/>
      <c r="AL71" s="214"/>
      <c r="AM71" s="214"/>
      <c r="AN71" s="214"/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  <c r="BA71" s="214"/>
      <c r="BB71" s="214"/>
      <c r="BC71" s="214"/>
      <c r="BD71" s="214"/>
      <c r="BE71" s="214"/>
      <c r="BF71" s="214"/>
      <c r="BG71" s="214"/>
      <c r="BH71" s="214"/>
      <c r="BI71" s="214"/>
      <c r="BJ71" s="214"/>
      <c r="BK71" s="214"/>
      <c r="BL71" s="214"/>
      <c r="BM71" s="214"/>
      <c r="BN71" s="214"/>
      <c r="BO71" s="214"/>
      <c r="BP71" s="214"/>
      <c r="BQ71" s="214"/>
      <c r="BR71" s="214"/>
      <c r="BS71" s="214"/>
      <c r="BT71" s="214"/>
      <c r="BU71" s="214"/>
      <c r="BV71" s="214"/>
      <c r="BW71" s="214"/>
      <c r="BX71" s="214"/>
      <c r="BY71" s="214"/>
      <c r="BZ71" s="214"/>
      <c r="CA71" s="214"/>
    </row>
    <row r="72" spans="1:79" s="215" customFormat="1" ht="21" customHeight="1" x14ac:dyDescent="0.25">
      <c r="A72" s="117" t="s">
        <v>177</v>
      </c>
      <c r="B72" s="186" t="s">
        <v>178</v>
      </c>
      <c r="C72" s="186" t="s">
        <v>51</v>
      </c>
      <c r="D72" s="187" t="s">
        <v>91</v>
      </c>
      <c r="E72" s="23" t="s">
        <v>179</v>
      </c>
      <c r="F72" s="209"/>
      <c r="G72" s="210"/>
      <c r="H72" s="211"/>
      <c r="I72" s="212">
        <v>6.6</v>
      </c>
      <c r="J72" s="81"/>
      <c r="K72" s="213">
        <f t="shared" si="5"/>
        <v>0</v>
      </c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4"/>
      <c r="AF72" s="214"/>
      <c r="AG72" s="214"/>
      <c r="AH72" s="214"/>
      <c r="AI72" s="214"/>
      <c r="AJ72" s="214"/>
      <c r="AK72" s="214"/>
      <c r="AL72" s="214"/>
      <c r="AM72" s="214"/>
      <c r="AN72" s="214"/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  <c r="BB72" s="214"/>
      <c r="BC72" s="214"/>
      <c r="BD72" s="214"/>
      <c r="BE72" s="214"/>
      <c r="BF72" s="214"/>
      <c r="BG72" s="214"/>
      <c r="BH72" s="214"/>
      <c r="BI72" s="214"/>
      <c r="BJ72" s="214"/>
      <c r="BK72" s="214"/>
      <c r="BL72" s="214"/>
      <c r="BM72" s="214"/>
      <c r="BN72" s="214"/>
      <c r="BO72" s="214"/>
      <c r="BP72" s="214"/>
      <c r="BQ72" s="214"/>
      <c r="BR72" s="214"/>
      <c r="BS72" s="214"/>
      <c r="BT72" s="214"/>
      <c r="BU72" s="214"/>
      <c r="BV72" s="214"/>
      <c r="BW72" s="214"/>
      <c r="BX72" s="214"/>
      <c r="BY72" s="214"/>
      <c r="BZ72" s="214"/>
      <c r="CA72" s="214"/>
    </row>
    <row r="73" spans="1:79" s="215" customFormat="1" ht="21" customHeight="1" x14ac:dyDescent="0.25">
      <c r="A73" s="117" t="s">
        <v>184</v>
      </c>
      <c r="B73" s="186" t="s">
        <v>28</v>
      </c>
      <c r="C73" s="186" t="s">
        <v>147</v>
      </c>
      <c r="D73" s="187" t="s">
        <v>1295</v>
      </c>
      <c r="E73" s="23" t="s">
        <v>1296</v>
      </c>
      <c r="F73" s="209"/>
      <c r="G73" s="210"/>
      <c r="H73" s="211"/>
      <c r="I73" s="212">
        <v>29</v>
      </c>
      <c r="J73" s="81"/>
      <c r="K73" s="213">
        <f>G73*I73</f>
        <v>0</v>
      </c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4"/>
      <c r="AF73" s="214"/>
      <c r="AG73" s="214"/>
      <c r="AH73" s="214"/>
      <c r="AI73" s="214"/>
      <c r="AJ73" s="214"/>
      <c r="AK73" s="214"/>
      <c r="AL73" s="214"/>
      <c r="AM73" s="214"/>
      <c r="AN73" s="214"/>
      <c r="AO73" s="214"/>
      <c r="AP73" s="214"/>
      <c r="AQ73" s="214"/>
      <c r="AR73" s="214"/>
      <c r="AS73" s="214"/>
      <c r="AT73" s="214"/>
      <c r="AU73" s="214"/>
      <c r="AV73" s="214"/>
      <c r="AW73" s="214"/>
      <c r="AX73" s="214"/>
      <c r="AY73" s="214"/>
      <c r="AZ73" s="214"/>
      <c r="BA73" s="214"/>
      <c r="BB73" s="214"/>
      <c r="BC73" s="214"/>
      <c r="BD73" s="214"/>
      <c r="BE73" s="214"/>
      <c r="BF73" s="214"/>
      <c r="BG73" s="214"/>
      <c r="BH73" s="214"/>
      <c r="BI73" s="214"/>
      <c r="BJ73" s="214"/>
      <c r="BK73" s="214"/>
      <c r="BL73" s="214"/>
      <c r="BM73" s="214"/>
      <c r="BN73" s="214"/>
      <c r="BO73" s="214"/>
      <c r="BP73" s="214"/>
      <c r="BQ73" s="214"/>
      <c r="BR73" s="214"/>
      <c r="BS73" s="214"/>
      <c r="BT73" s="214"/>
      <c r="BU73" s="214"/>
      <c r="BV73" s="214"/>
      <c r="BW73" s="214"/>
      <c r="BX73" s="214"/>
      <c r="BY73" s="214"/>
      <c r="BZ73" s="214"/>
      <c r="CA73" s="214"/>
    </row>
    <row r="74" spans="1:79" s="215" customFormat="1" ht="21" customHeight="1" x14ac:dyDescent="0.25">
      <c r="A74" s="117" t="s">
        <v>180</v>
      </c>
      <c r="B74" s="186" t="s">
        <v>28</v>
      </c>
      <c r="C74" s="186" t="s">
        <v>181</v>
      </c>
      <c r="D74" s="187" t="s">
        <v>182</v>
      </c>
      <c r="E74" s="23" t="s">
        <v>183</v>
      </c>
      <c r="F74" s="209"/>
      <c r="G74" s="210"/>
      <c r="H74" s="211"/>
      <c r="I74" s="212">
        <v>36</v>
      </c>
      <c r="J74" s="81"/>
      <c r="K74" s="213">
        <f>G74*I74</f>
        <v>0</v>
      </c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4"/>
      <c r="AK74" s="214"/>
      <c r="AL74" s="214"/>
      <c r="AM74" s="214"/>
      <c r="AN74" s="214"/>
      <c r="AO74" s="214"/>
      <c r="AP74" s="214"/>
      <c r="AQ74" s="214"/>
      <c r="AR74" s="214"/>
      <c r="AS74" s="214"/>
      <c r="AT74" s="214"/>
      <c r="AU74" s="214"/>
      <c r="AV74" s="214"/>
      <c r="AW74" s="214"/>
      <c r="AX74" s="214"/>
      <c r="AY74" s="214"/>
      <c r="AZ74" s="214"/>
      <c r="BA74" s="214"/>
      <c r="BB74" s="214"/>
      <c r="BC74" s="214"/>
      <c r="BD74" s="214"/>
      <c r="BE74" s="214"/>
      <c r="BF74" s="214"/>
      <c r="BG74" s="214"/>
      <c r="BH74" s="214"/>
      <c r="BI74" s="214"/>
      <c r="BJ74" s="214"/>
      <c r="BK74" s="214"/>
      <c r="BL74" s="214"/>
      <c r="BM74" s="214"/>
      <c r="BN74" s="214"/>
      <c r="BO74" s="214"/>
      <c r="BP74" s="214"/>
      <c r="BQ74" s="214"/>
      <c r="BR74" s="214"/>
      <c r="BS74" s="214"/>
      <c r="BT74" s="214"/>
      <c r="BU74" s="214"/>
      <c r="BV74" s="214"/>
      <c r="BW74" s="214"/>
      <c r="BX74" s="214"/>
      <c r="BY74" s="214"/>
      <c r="BZ74" s="214"/>
      <c r="CA74" s="214"/>
    </row>
    <row r="75" spans="1:79" s="215" customFormat="1" ht="21" customHeight="1" x14ac:dyDescent="0.25">
      <c r="A75" s="117" t="s">
        <v>184</v>
      </c>
      <c r="B75" s="186" t="s">
        <v>28</v>
      </c>
      <c r="C75" s="186" t="s">
        <v>143</v>
      </c>
      <c r="D75" s="187" t="s">
        <v>175</v>
      </c>
      <c r="E75" s="23" t="s">
        <v>185</v>
      </c>
      <c r="F75" s="209"/>
      <c r="G75" s="210"/>
      <c r="H75" s="211"/>
      <c r="I75" s="212">
        <v>29</v>
      </c>
      <c r="J75" s="81"/>
      <c r="K75" s="213">
        <f t="shared" si="5"/>
        <v>0</v>
      </c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4"/>
      <c r="AF75" s="214"/>
      <c r="AG75" s="214"/>
      <c r="AH75" s="214"/>
      <c r="AI75" s="214"/>
      <c r="AJ75" s="214"/>
      <c r="AK75" s="214"/>
      <c r="AL75" s="214"/>
      <c r="AM75" s="214"/>
      <c r="AN75" s="214"/>
      <c r="AO75" s="214"/>
      <c r="AP75" s="214"/>
      <c r="AQ75" s="214"/>
      <c r="AR75" s="214"/>
      <c r="AS75" s="214"/>
      <c r="AT75" s="214"/>
      <c r="AU75" s="214"/>
      <c r="AV75" s="214"/>
      <c r="AW75" s="214"/>
      <c r="AX75" s="214"/>
      <c r="AY75" s="214"/>
      <c r="AZ75" s="214"/>
      <c r="BA75" s="214"/>
      <c r="BB75" s="214"/>
      <c r="BC75" s="214"/>
      <c r="BD75" s="214"/>
      <c r="BE75" s="214"/>
      <c r="BF75" s="214"/>
      <c r="BG75" s="214"/>
      <c r="BH75" s="214"/>
      <c r="BI75" s="214"/>
      <c r="BJ75" s="214"/>
      <c r="BK75" s="214"/>
      <c r="BL75" s="214"/>
      <c r="BM75" s="214"/>
      <c r="BN75" s="214"/>
      <c r="BO75" s="214"/>
      <c r="BP75" s="214"/>
      <c r="BQ75" s="214"/>
      <c r="BR75" s="214"/>
      <c r="BS75" s="214"/>
      <c r="BT75" s="214"/>
      <c r="BU75" s="214"/>
      <c r="BV75" s="214"/>
      <c r="BW75" s="214"/>
      <c r="BX75" s="214"/>
      <c r="BY75" s="214"/>
      <c r="BZ75" s="214"/>
      <c r="CA75" s="214"/>
    </row>
    <row r="76" spans="1:79" s="215" customFormat="1" ht="21" customHeight="1" x14ac:dyDescent="0.25">
      <c r="A76" s="117" t="s">
        <v>186</v>
      </c>
      <c r="B76" s="186" t="s">
        <v>187</v>
      </c>
      <c r="C76" s="186" t="s">
        <v>188</v>
      </c>
      <c r="D76" s="187" t="s">
        <v>1301</v>
      </c>
      <c r="E76" s="23" t="s">
        <v>1302</v>
      </c>
      <c r="F76" s="209"/>
      <c r="G76" s="210"/>
      <c r="H76" s="211"/>
      <c r="I76" s="212">
        <v>23</v>
      </c>
      <c r="J76" s="81"/>
      <c r="K76" s="213">
        <f>G76*I76</f>
        <v>0</v>
      </c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4"/>
      <c r="AF76" s="214"/>
      <c r="AG76" s="214"/>
      <c r="AH76" s="214"/>
      <c r="AI76" s="214"/>
      <c r="AJ76" s="214"/>
      <c r="AK76" s="214"/>
      <c r="AL76" s="214"/>
      <c r="AM76" s="214"/>
      <c r="AN76" s="214"/>
      <c r="AO76" s="214"/>
      <c r="AP76" s="214"/>
      <c r="AQ76" s="214"/>
      <c r="AR76" s="214"/>
      <c r="AS76" s="214"/>
      <c r="AT76" s="214"/>
      <c r="AU76" s="214"/>
      <c r="AV76" s="214"/>
      <c r="AW76" s="214"/>
      <c r="AX76" s="214"/>
      <c r="AY76" s="214"/>
      <c r="AZ76" s="214"/>
      <c r="BA76" s="214"/>
      <c r="BB76" s="214"/>
      <c r="BC76" s="214"/>
      <c r="BD76" s="214"/>
      <c r="BE76" s="214"/>
      <c r="BF76" s="214"/>
      <c r="BG76" s="214"/>
      <c r="BH76" s="214"/>
      <c r="BI76" s="214"/>
      <c r="BJ76" s="214"/>
      <c r="BK76" s="214"/>
      <c r="BL76" s="214"/>
      <c r="BM76" s="214"/>
      <c r="BN76" s="214"/>
      <c r="BO76" s="214"/>
      <c r="BP76" s="214"/>
      <c r="BQ76" s="214"/>
      <c r="BR76" s="214"/>
      <c r="BS76" s="214"/>
      <c r="BT76" s="214"/>
      <c r="BU76" s="214"/>
      <c r="BV76" s="214"/>
      <c r="BW76" s="214"/>
      <c r="BX76" s="214"/>
      <c r="BY76" s="214"/>
      <c r="BZ76" s="214"/>
      <c r="CA76" s="214"/>
    </row>
    <row r="77" spans="1:79" s="215" customFormat="1" ht="21" customHeight="1" x14ac:dyDescent="0.25">
      <c r="A77" s="117" t="s">
        <v>189</v>
      </c>
      <c r="B77" s="186" t="s">
        <v>28</v>
      </c>
      <c r="C77" s="186" t="s">
        <v>147</v>
      </c>
      <c r="D77" s="187" t="s">
        <v>190</v>
      </c>
      <c r="E77" s="23" t="s">
        <v>191</v>
      </c>
      <c r="F77" s="209"/>
      <c r="G77" s="210"/>
      <c r="H77" s="211"/>
      <c r="I77" s="212">
        <v>18.5</v>
      </c>
      <c r="J77" s="81"/>
      <c r="K77" s="213">
        <f t="shared" ref="K77:K78" si="11">G77*I77</f>
        <v>0</v>
      </c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214"/>
      <c r="AJ77" s="214"/>
      <c r="AK77" s="214"/>
      <c r="AL77" s="214"/>
      <c r="AM77" s="214"/>
      <c r="AN77" s="214"/>
      <c r="AO77" s="214"/>
      <c r="AP77" s="214"/>
      <c r="AQ77" s="214"/>
      <c r="AR77" s="214"/>
      <c r="AS77" s="214"/>
      <c r="AT77" s="214"/>
      <c r="AU77" s="214"/>
      <c r="AV77" s="214"/>
      <c r="AW77" s="214"/>
      <c r="AX77" s="214"/>
      <c r="AY77" s="214"/>
      <c r="AZ77" s="214"/>
      <c r="BA77" s="214"/>
      <c r="BB77" s="214"/>
      <c r="BC77" s="214"/>
      <c r="BD77" s="214"/>
      <c r="BE77" s="214"/>
      <c r="BF77" s="214"/>
      <c r="BG77" s="214"/>
      <c r="BH77" s="214"/>
      <c r="BI77" s="214"/>
      <c r="BJ77" s="214"/>
      <c r="BK77" s="214"/>
      <c r="BL77" s="214"/>
      <c r="BM77" s="214"/>
      <c r="BN77" s="214"/>
      <c r="BO77" s="214"/>
      <c r="BP77" s="214"/>
      <c r="BQ77" s="214"/>
      <c r="BR77" s="214"/>
      <c r="BS77" s="214"/>
      <c r="BT77" s="214"/>
      <c r="BU77" s="214"/>
      <c r="BV77" s="214"/>
      <c r="BW77" s="214"/>
      <c r="BX77" s="214"/>
      <c r="BY77" s="214"/>
      <c r="BZ77" s="214"/>
      <c r="CA77" s="214"/>
    </row>
    <row r="78" spans="1:79" s="215" customFormat="1" ht="21" customHeight="1" x14ac:dyDescent="0.25">
      <c r="A78" s="117" t="s">
        <v>192</v>
      </c>
      <c r="B78" s="186" t="s">
        <v>28</v>
      </c>
      <c r="C78" s="186" t="s">
        <v>147</v>
      </c>
      <c r="D78" s="187" t="s">
        <v>190</v>
      </c>
      <c r="E78" s="23" t="s">
        <v>193</v>
      </c>
      <c r="F78" s="209"/>
      <c r="G78" s="210"/>
      <c r="H78" s="211"/>
      <c r="I78" s="212">
        <v>18.5</v>
      </c>
      <c r="J78" s="81"/>
      <c r="K78" s="213">
        <f t="shared" si="11"/>
        <v>0</v>
      </c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4"/>
      <c r="AF78" s="214"/>
      <c r="AG78" s="214"/>
      <c r="AH78" s="214"/>
      <c r="AI78" s="214"/>
      <c r="AJ78" s="214"/>
      <c r="AK78" s="214"/>
      <c r="AL78" s="214"/>
      <c r="AM78" s="214"/>
      <c r="AN78" s="214"/>
      <c r="AO78" s="214"/>
      <c r="AP78" s="214"/>
      <c r="AQ78" s="214"/>
      <c r="AR78" s="214"/>
      <c r="AS78" s="214"/>
      <c r="AT78" s="214"/>
      <c r="AU78" s="214"/>
      <c r="AV78" s="214"/>
      <c r="AW78" s="214"/>
      <c r="AX78" s="214"/>
      <c r="AY78" s="214"/>
      <c r="AZ78" s="214"/>
      <c r="BA78" s="214"/>
      <c r="BB78" s="214"/>
      <c r="BC78" s="214"/>
      <c r="BD78" s="214"/>
      <c r="BE78" s="214"/>
      <c r="BF78" s="214"/>
      <c r="BG78" s="214"/>
      <c r="BH78" s="214"/>
      <c r="BI78" s="214"/>
      <c r="BJ78" s="214"/>
      <c r="BK78" s="214"/>
      <c r="BL78" s="214"/>
      <c r="BM78" s="214"/>
      <c r="BN78" s="214"/>
      <c r="BO78" s="214"/>
      <c r="BP78" s="214"/>
      <c r="BQ78" s="214"/>
      <c r="BR78" s="214"/>
      <c r="BS78" s="214"/>
      <c r="BT78" s="214"/>
      <c r="BU78" s="214"/>
      <c r="BV78" s="214"/>
      <c r="BW78" s="214"/>
      <c r="BX78" s="214"/>
      <c r="BY78" s="214"/>
      <c r="BZ78" s="214"/>
      <c r="CA78" s="214"/>
    </row>
    <row r="79" spans="1:79" s="215" customFormat="1" ht="21" customHeight="1" x14ac:dyDescent="0.25">
      <c r="A79" s="117" t="s">
        <v>1297</v>
      </c>
      <c r="B79" s="186" t="s">
        <v>28</v>
      </c>
      <c r="C79" s="186" t="s">
        <v>147</v>
      </c>
      <c r="D79" s="187" t="s">
        <v>190</v>
      </c>
      <c r="E79" s="23" t="s">
        <v>1298</v>
      </c>
      <c r="F79" s="209"/>
      <c r="G79" s="210"/>
      <c r="H79" s="211"/>
      <c r="I79" s="212">
        <v>20.5</v>
      </c>
      <c r="J79" s="81"/>
      <c r="K79" s="213">
        <f>G79*I79</f>
        <v>0</v>
      </c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  <c r="Y79" s="214"/>
      <c r="Z79" s="214"/>
      <c r="AA79" s="214"/>
      <c r="AB79" s="214"/>
      <c r="AC79" s="214"/>
      <c r="AD79" s="214"/>
      <c r="AE79" s="214"/>
      <c r="AF79" s="214"/>
      <c r="AG79" s="214"/>
      <c r="AH79" s="214"/>
      <c r="AI79" s="214"/>
      <c r="AJ79" s="214"/>
      <c r="AK79" s="214"/>
      <c r="AL79" s="214"/>
      <c r="AM79" s="214"/>
      <c r="AN79" s="214"/>
      <c r="AO79" s="214"/>
      <c r="AP79" s="214"/>
      <c r="AQ79" s="214"/>
      <c r="AR79" s="214"/>
      <c r="AS79" s="214"/>
      <c r="AT79" s="214"/>
      <c r="AU79" s="214"/>
      <c r="AV79" s="214"/>
      <c r="AW79" s="214"/>
      <c r="AX79" s="214"/>
      <c r="AY79" s="214"/>
      <c r="AZ79" s="214"/>
      <c r="BA79" s="214"/>
      <c r="BB79" s="214"/>
      <c r="BC79" s="214"/>
      <c r="BD79" s="214"/>
      <c r="BE79" s="214"/>
      <c r="BF79" s="214"/>
      <c r="BG79" s="214"/>
      <c r="BH79" s="214"/>
      <c r="BI79" s="214"/>
      <c r="BJ79" s="214"/>
      <c r="BK79" s="214"/>
      <c r="BL79" s="214"/>
      <c r="BM79" s="214"/>
      <c r="BN79" s="214"/>
      <c r="BO79" s="214"/>
      <c r="BP79" s="214"/>
      <c r="BQ79" s="214"/>
      <c r="BR79" s="214"/>
      <c r="BS79" s="214"/>
      <c r="BT79" s="214"/>
      <c r="BU79" s="214"/>
      <c r="BV79" s="214"/>
      <c r="BW79" s="214"/>
      <c r="BX79" s="214"/>
      <c r="BY79" s="214"/>
      <c r="BZ79" s="214"/>
      <c r="CA79" s="214"/>
    </row>
    <row r="80" spans="1:79" s="215" customFormat="1" ht="21" customHeight="1" x14ac:dyDescent="0.25">
      <c r="A80" s="117" t="s">
        <v>1299</v>
      </c>
      <c r="B80" s="186" t="s">
        <v>28</v>
      </c>
      <c r="C80" s="186" t="s">
        <v>147</v>
      </c>
      <c r="D80" s="187" t="s">
        <v>190</v>
      </c>
      <c r="E80" s="23" t="s">
        <v>1300</v>
      </c>
      <c r="F80" s="209"/>
      <c r="G80" s="210"/>
      <c r="H80" s="211"/>
      <c r="I80" s="212">
        <v>18.5</v>
      </c>
      <c r="J80" s="81"/>
      <c r="K80" s="213">
        <f>G80*I80</f>
        <v>0</v>
      </c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14"/>
      <c r="AJ80" s="214"/>
      <c r="AK80" s="214"/>
      <c r="AL80" s="214"/>
      <c r="AM80" s="214"/>
      <c r="AN80" s="214"/>
      <c r="AO80" s="214"/>
      <c r="AP80" s="214"/>
      <c r="AQ80" s="214"/>
      <c r="AR80" s="214"/>
      <c r="AS80" s="214"/>
      <c r="AT80" s="214"/>
      <c r="AU80" s="214"/>
      <c r="AV80" s="214"/>
      <c r="AW80" s="214"/>
      <c r="AX80" s="214"/>
      <c r="AY80" s="214"/>
      <c r="AZ80" s="214"/>
      <c r="BA80" s="214"/>
      <c r="BB80" s="214"/>
      <c r="BC80" s="214"/>
      <c r="BD80" s="214"/>
      <c r="BE80" s="214"/>
      <c r="BF80" s="214"/>
      <c r="BG80" s="214"/>
      <c r="BH80" s="214"/>
      <c r="BI80" s="214"/>
      <c r="BJ80" s="214"/>
      <c r="BK80" s="214"/>
      <c r="BL80" s="214"/>
      <c r="BM80" s="214"/>
      <c r="BN80" s="214"/>
      <c r="BO80" s="214"/>
      <c r="BP80" s="214"/>
      <c r="BQ80" s="214"/>
      <c r="BR80" s="214"/>
      <c r="BS80" s="214"/>
      <c r="BT80" s="214"/>
      <c r="BU80" s="214"/>
      <c r="BV80" s="214"/>
      <c r="BW80" s="214"/>
      <c r="BX80" s="214"/>
      <c r="BY80" s="214"/>
      <c r="BZ80" s="214"/>
      <c r="CA80" s="214"/>
    </row>
    <row r="81" spans="1:79" s="215" customFormat="1" ht="21" customHeight="1" x14ac:dyDescent="0.25">
      <c r="A81" s="117" t="s">
        <v>194</v>
      </c>
      <c r="B81" s="186" t="s">
        <v>50</v>
      </c>
      <c r="C81" s="186" t="s">
        <v>195</v>
      </c>
      <c r="D81" s="187" t="s">
        <v>196</v>
      </c>
      <c r="E81" s="23" t="s">
        <v>197</v>
      </c>
      <c r="F81" s="209"/>
      <c r="G81" s="210"/>
      <c r="H81" s="211"/>
      <c r="I81" s="212">
        <v>3.9</v>
      </c>
      <c r="J81" s="81" t="s">
        <v>198</v>
      </c>
      <c r="K81" s="213">
        <f t="shared" si="5"/>
        <v>0</v>
      </c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  <c r="AH81" s="214"/>
      <c r="AI81" s="214"/>
      <c r="AJ81" s="214"/>
      <c r="AK81" s="214"/>
      <c r="AL81" s="214"/>
      <c r="AM81" s="214"/>
      <c r="AN81" s="214"/>
      <c r="AO81" s="214"/>
      <c r="AP81" s="214"/>
      <c r="AQ81" s="214"/>
      <c r="AR81" s="214"/>
      <c r="AS81" s="214"/>
      <c r="AT81" s="214"/>
      <c r="AU81" s="214"/>
      <c r="AV81" s="214"/>
      <c r="AW81" s="214"/>
      <c r="AX81" s="214"/>
      <c r="AY81" s="214"/>
      <c r="AZ81" s="214"/>
      <c r="BA81" s="214"/>
      <c r="BB81" s="214"/>
      <c r="BC81" s="214"/>
      <c r="BD81" s="214"/>
      <c r="BE81" s="214"/>
      <c r="BF81" s="214"/>
      <c r="BG81" s="214"/>
      <c r="BH81" s="214"/>
      <c r="BI81" s="214"/>
      <c r="BJ81" s="214"/>
      <c r="BK81" s="214"/>
      <c r="BL81" s="214"/>
      <c r="BM81" s="214"/>
      <c r="BN81" s="214"/>
      <c r="BO81" s="214"/>
      <c r="BP81" s="214"/>
      <c r="BQ81" s="214"/>
      <c r="BR81" s="214"/>
      <c r="BS81" s="214"/>
      <c r="BT81" s="214"/>
      <c r="BU81" s="214"/>
      <c r="BV81" s="214"/>
      <c r="BW81" s="214"/>
      <c r="BX81" s="214"/>
      <c r="BY81" s="214"/>
      <c r="BZ81" s="214"/>
      <c r="CA81" s="214"/>
    </row>
    <row r="82" spans="1:79" s="215" customFormat="1" ht="21" customHeight="1" x14ac:dyDescent="0.25">
      <c r="A82" s="117" t="s">
        <v>199</v>
      </c>
      <c r="B82" s="186" t="s">
        <v>50</v>
      </c>
      <c r="C82" s="186" t="s">
        <v>200</v>
      </c>
      <c r="D82" s="187" t="s">
        <v>201</v>
      </c>
      <c r="E82" s="23" t="s">
        <v>202</v>
      </c>
      <c r="F82" s="209"/>
      <c r="G82" s="210"/>
      <c r="H82" s="211"/>
      <c r="I82" s="212">
        <v>6.25</v>
      </c>
      <c r="J82" s="81"/>
      <c r="K82" s="213">
        <f t="shared" si="5"/>
        <v>0</v>
      </c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214"/>
      <c r="AJ82" s="214"/>
      <c r="AK82" s="214"/>
      <c r="AL82" s="214"/>
      <c r="AM82" s="214"/>
      <c r="AN82" s="214"/>
      <c r="AO82" s="214"/>
      <c r="AP82" s="214"/>
      <c r="AQ82" s="214"/>
      <c r="AR82" s="214"/>
      <c r="AS82" s="214"/>
      <c r="AT82" s="214"/>
      <c r="AU82" s="214"/>
      <c r="AV82" s="214"/>
      <c r="AW82" s="214"/>
      <c r="AX82" s="214"/>
      <c r="AY82" s="214"/>
      <c r="AZ82" s="214"/>
      <c r="BA82" s="214"/>
      <c r="BB82" s="214"/>
      <c r="BC82" s="214"/>
      <c r="BD82" s="214"/>
      <c r="BE82" s="214"/>
      <c r="BF82" s="214"/>
      <c r="BG82" s="214"/>
      <c r="BH82" s="214"/>
      <c r="BI82" s="214"/>
      <c r="BJ82" s="214"/>
      <c r="BK82" s="214"/>
      <c r="BL82" s="214"/>
      <c r="BM82" s="214"/>
      <c r="BN82" s="214"/>
      <c r="BO82" s="214"/>
      <c r="BP82" s="214"/>
      <c r="BQ82" s="214"/>
      <c r="BR82" s="214"/>
      <c r="BS82" s="214"/>
      <c r="BT82" s="214"/>
      <c r="BU82" s="214"/>
      <c r="BV82" s="214"/>
      <c r="BW82" s="214"/>
      <c r="BX82" s="214"/>
      <c r="BY82" s="214"/>
      <c r="BZ82" s="214"/>
      <c r="CA82" s="214"/>
    </row>
    <row r="83" spans="1:79" s="215" customFormat="1" ht="21" customHeight="1" x14ac:dyDescent="0.25">
      <c r="A83" s="117" t="s">
        <v>203</v>
      </c>
      <c r="B83" s="186" t="s">
        <v>28</v>
      </c>
      <c r="C83" s="186" t="s">
        <v>41</v>
      </c>
      <c r="D83" s="187" t="s">
        <v>201</v>
      </c>
      <c r="E83" s="23" t="s">
        <v>204</v>
      </c>
      <c r="F83" s="209"/>
      <c r="G83" s="210"/>
      <c r="H83" s="211"/>
      <c r="I83" s="212">
        <v>59</v>
      </c>
      <c r="J83" s="81"/>
      <c r="K83" s="213">
        <f t="shared" si="5"/>
        <v>0</v>
      </c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  <c r="AF83" s="214"/>
      <c r="AG83" s="214"/>
      <c r="AH83" s="214"/>
      <c r="AI83" s="214"/>
      <c r="AJ83" s="214"/>
      <c r="AK83" s="214"/>
      <c r="AL83" s="214"/>
      <c r="AM83" s="214"/>
      <c r="AN83" s="214"/>
      <c r="AO83" s="214"/>
      <c r="AP83" s="214"/>
      <c r="AQ83" s="214"/>
      <c r="AR83" s="214"/>
      <c r="AS83" s="214"/>
      <c r="AT83" s="214"/>
      <c r="AU83" s="214"/>
      <c r="AV83" s="214"/>
      <c r="AW83" s="214"/>
      <c r="AX83" s="214"/>
      <c r="AY83" s="214"/>
      <c r="AZ83" s="214"/>
      <c r="BA83" s="214"/>
      <c r="BB83" s="214"/>
      <c r="BC83" s="214"/>
      <c r="BD83" s="214"/>
      <c r="BE83" s="214"/>
      <c r="BF83" s="214"/>
      <c r="BG83" s="214"/>
      <c r="BH83" s="214"/>
      <c r="BI83" s="214"/>
      <c r="BJ83" s="214"/>
      <c r="BK83" s="214"/>
      <c r="BL83" s="214"/>
      <c r="BM83" s="214"/>
      <c r="BN83" s="214"/>
      <c r="BO83" s="214"/>
      <c r="BP83" s="214"/>
      <c r="BQ83" s="214"/>
      <c r="BR83" s="214"/>
      <c r="BS83" s="214"/>
      <c r="BT83" s="214"/>
      <c r="BU83" s="214"/>
      <c r="BV83" s="214"/>
      <c r="BW83" s="214"/>
      <c r="BX83" s="214"/>
      <c r="BY83" s="214"/>
      <c r="BZ83" s="214"/>
      <c r="CA83" s="214"/>
    </row>
    <row r="84" spans="1:79" s="215" customFormat="1" ht="21" customHeight="1" x14ac:dyDescent="0.25">
      <c r="A84" s="117" t="s">
        <v>205</v>
      </c>
      <c r="B84" s="186" t="s">
        <v>50</v>
      </c>
      <c r="C84" s="186" t="s">
        <v>200</v>
      </c>
      <c r="D84" s="187" t="s">
        <v>201</v>
      </c>
      <c r="E84" s="23" t="s">
        <v>206</v>
      </c>
      <c r="F84" s="209"/>
      <c r="G84" s="210"/>
      <c r="H84" s="211"/>
      <c r="I84" s="212">
        <v>6.25</v>
      </c>
      <c r="J84" s="81"/>
      <c r="K84" s="213">
        <f t="shared" si="5"/>
        <v>0</v>
      </c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  <c r="AH84" s="214"/>
      <c r="AI84" s="214"/>
      <c r="AJ84" s="214"/>
      <c r="AK84" s="214"/>
      <c r="AL84" s="214"/>
      <c r="AM84" s="214"/>
      <c r="AN84" s="214"/>
      <c r="AO84" s="214"/>
      <c r="AP84" s="214"/>
      <c r="AQ84" s="214"/>
      <c r="AR84" s="214"/>
      <c r="AS84" s="214"/>
      <c r="AT84" s="214"/>
      <c r="AU84" s="214"/>
      <c r="AV84" s="214"/>
      <c r="AW84" s="214"/>
      <c r="AX84" s="214"/>
      <c r="AY84" s="214"/>
      <c r="AZ84" s="214"/>
      <c r="BA84" s="214"/>
      <c r="BB84" s="214"/>
      <c r="BC84" s="214"/>
      <c r="BD84" s="214"/>
      <c r="BE84" s="214"/>
      <c r="BF84" s="214"/>
      <c r="BG84" s="214"/>
      <c r="BH84" s="214"/>
      <c r="BI84" s="214"/>
      <c r="BJ84" s="214"/>
      <c r="BK84" s="214"/>
      <c r="BL84" s="214"/>
      <c r="BM84" s="214"/>
      <c r="BN84" s="214"/>
      <c r="BO84" s="214"/>
      <c r="BP84" s="214"/>
      <c r="BQ84" s="214"/>
      <c r="BR84" s="214"/>
      <c r="BS84" s="214"/>
      <c r="BT84" s="214"/>
      <c r="BU84" s="214"/>
      <c r="BV84" s="214"/>
      <c r="BW84" s="214"/>
      <c r="BX84" s="214"/>
      <c r="BY84" s="214"/>
      <c r="BZ84" s="214"/>
      <c r="CA84" s="214"/>
    </row>
    <row r="85" spans="1:79" s="215" customFormat="1" ht="21" customHeight="1" x14ac:dyDescent="0.25">
      <c r="A85" s="117" t="s">
        <v>207</v>
      </c>
      <c r="B85" s="186" t="s">
        <v>208</v>
      </c>
      <c r="C85" s="186" t="s">
        <v>41</v>
      </c>
      <c r="D85" s="187" t="s">
        <v>201</v>
      </c>
      <c r="E85" s="23" t="s">
        <v>209</v>
      </c>
      <c r="F85" s="209"/>
      <c r="G85" s="210"/>
      <c r="H85" s="211"/>
      <c r="I85" s="212">
        <v>42</v>
      </c>
      <c r="J85" s="81"/>
      <c r="K85" s="213">
        <f t="shared" ref="K85:K142" si="12">G85*I85</f>
        <v>0</v>
      </c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  <c r="Y85" s="214"/>
      <c r="Z85" s="214"/>
      <c r="AA85" s="214"/>
      <c r="AB85" s="214"/>
      <c r="AC85" s="214"/>
      <c r="AD85" s="214"/>
      <c r="AE85" s="214"/>
      <c r="AF85" s="214"/>
      <c r="AG85" s="214"/>
      <c r="AH85" s="214"/>
      <c r="AI85" s="214"/>
      <c r="AJ85" s="214"/>
      <c r="AK85" s="214"/>
      <c r="AL85" s="214"/>
      <c r="AM85" s="214"/>
      <c r="AN85" s="214"/>
      <c r="AO85" s="214"/>
      <c r="AP85" s="214"/>
      <c r="AQ85" s="214"/>
      <c r="AR85" s="214"/>
      <c r="AS85" s="214"/>
      <c r="AT85" s="214"/>
      <c r="AU85" s="214"/>
      <c r="AV85" s="214"/>
      <c r="AW85" s="214"/>
      <c r="AX85" s="214"/>
      <c r="AY85" s="214"/>
      <c r="AZ85" s="214"/>
      <c r="BA85" s="214"/>
      <c r="BB85" s="214"/>
      <c r="BC85" s="214"/>
      <c r="BD85" s="214"/>
      <c r="BE85" s="214"/>
      <c r="BF85" s="214"/>
      <c r="BG85" s="214"/>
      <c r="BH85" s="214"/>
      <c r="BI85" s="214"/>
      <c r="BJ85" s="214"/>
      <c r="BK85" s="214"/>
      <c r="BL85" s="214"/>
      <c r="BM85" s="214"/>
      <c r="BN85" s="214"/>
      <c r="BO85" s="214"/>
      <c r="BP85" s="214"/>
      <c r="BQ85" s="214"/>
      <c r="BR85" s="214"/>
      <c r="BS85" s="214"/>
      <c r="BT85" s="214"/>
      <c r="BU85" s="214"/>
      <c r="BV85" s="214"/>
      <c r="BW85" s="214"/>
      <c r="BX85" s="214"/>
      <c r="BY85" s="214"/>
      <c r="BZ85" s="214"/>
      <c r="CA85" s="214"/>
    </row>
    <row r="86" spans="1:79" s="215" customFormat="1" ht="21" customHeight="1" x14ac:dyDescent="0.25">
      <c r="A86" s="117" t="s">
        <v>210</v>
      </c>
      <c r="B86" s="186" t="s">
        <v>50</v>
      </c>
      <c r="C86" s="186" t="s">
        <v>200</v>
      </c>
      <c r="D86" s="187" t="s">
        <v>201</v>
      </c>
      <c r="E86" s="23" t="s">
        <v>211</v>
      </c>
      <c r="F86" s="209"/>
      <c r="G86" s="210"/>
      <c r="H86" s="211"/>
      <c r="I86" s="212">
        <v>6.25</v>
      </c>
      <c r="J86" s="81"/>
      <c r="K86" s="213">
        <f t="shared" si="12"/>
        <v>0</v>
      </c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214"/>
      <c r="AJ86" s="214"/>
      <c r="AK86" s="214"/>
      <c r="AL86" s="214"/>
      <c r="AM86" s="214"/>
      <c r="AN86" s="214"/>
      <c r="AO86" s="214"/>
      <c r="AP86" s="214"/>
      <c r="AQ86" s="214"/>
      <c r="AR86" s="214"/>
      <c r="AS86" s="214"/>
      <c r="AT86" s="214"/>
      <c r="AU86" s="214"/>
      <c r="AV86" s="214"/>
      <c r="AW86" s="214"/>
      <c r="AX86" s="214"/>
      <c r="AY86" s="214"/>
      <c r="AZ86" s="214"/>
      <c r="BA86" s="214"/>
      <c r="BB86" s="214"/>
      <c r="BC86" s="214"/>
      <c r="BD86" s="214"/>
      <c r="BE86" s="214"/>
      <c r="BF86" s="214"/>
      <c r="BG86" s="214"/>
      <c r="BH86" s="214"/>
      <c r="BI86" s="214"/>
      <c r="BJ86" s="214"/>
      <c r="BK86" s="214"/>
      <c r="BL86" s="214"/>
      <c r="BM86" s="214"/>
      <c r="BN86" s="214"/>
      <c r="BO86" s="214"/>
      <c r="BP86" s="214"/>
      <c r="BQ86" s="214"/>
      <c r="BR86" s="214"/>
      <c r="BS86" s="214"/>
      <c r="BT86" s="214"/>
      <c r="BU86" s="214"/>
      <c r="BV86" s="214"/>
      <c r="BW86" s="214"/>
      <c r="BX86" s="214"/>
      <c r="BY86" s="214"/>
      <c r="BZ86" s="214"/>
      <c r="CA86" s="214"/>
    </row>
    <row r="87" spans="1:79" s="215" customFormat="1" ht="21" customHeight="1" x14ac:dyDescent="0.25">
      <c r="A87" s="117" t="s">
        <v>212</v>
      </c>
      <c r="B87" s="186" t="s">
        <v>208</v>
      </c>
      <c r="C87" s="186" t="s">
        <v>41</v>
      </c>
      <c r="D87" s="187" t="s">
        <v>201</v>
      </c>
      <c r="E87" s="23" t="s">
        <v>213</v>
      </c>
      <c r="F87" s="209"/>
      <c r="G87" s="210"/>
      <c r="H87" s="211"/>
      <c r="I87" s="212">
        <v>50</v>
      </c>
      <c r="J87" s="81"/>
      <c r="K87" s="213">
        <f t="shared" si="12"/>
        <v>0</v>
      </c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  <c r="AH87" s="214"/>
      <c r="AI87" s="214"/>
      <c r="AJ87" s="214"/>
      <c r="AK87" s="214"/>
      <c r="AL87" s="214"/>
      <c r="AM87" s="214"/>
      <c r="AN87" s="214"/>
      <c r="AO87" s="214"/>
      <c r="AP87" s="214"/>
      <c r="AQ87" s="214"/>
      <c r="AR87" s="214"/>
      <c r="AS87" s="214"/>
      <c r="AT87" s="214"/>
      <c r="AU87" s="214"/>
      <c r="AV87" s="214"/>
      <c r="AW87" s="214"/>
      <c r="AX87" s="214"/>
      <c r="AY87" s="214"/>
      <c r="AZ87" s="214"/>
      <c r="BA87" s="214"/>
      <c r="BB87" s="214"/>
      <c r="BC87" s="214"/>
      <c r="BD87" s="214"/>
      <c r="BE87" s="214"/>
      <c r="BF87" s="214"/>
      <c r="BG87" s="214"/>
      <c r="BH87" s="214"/>
      <c r="BI87" s="214"/>
      <c r="BJ87" s="214"/>
      <c r="BK87" s="214"/>
      <c r="BL87" s="214"/>
      <c r="BM87" s="214"/>
      <c r="BN87" s="214"/>
      <c r="BO87" s="214"/>
      <c r="BP87" s="214"/>
      <c r="BQ87" s="214"/>
      <c r="BR87" s="214"/>
      <c r="BS87" s="214"/>
      <c r="BT87" s="214"/>
      <c r="BU87" s="214"/>
      <c r="BV87" s="214"/>
      <c r="BW87" s="214"/>
      <c r="BX87" s="214"/>
      <c r="BY87" s="214"/>
      <c r="BZ87" s="214"/>
      <c r="CA87" s="214"/>
    </row>
    <row r="88" spans="1:79" s="215" customFormat="1" ht="21" customHeight="1" x14ac:dyDescent="0.25">
      <c r="A88" s="117" t="s">
        <v>210</v>
      </c>
      <c r="B88" s="186" t="s">
        <v>208</v>
      </c>
      <c r="C88" s="186" t="s">
        <v>214</v>
      </c>
      <c r="D88" s="187" t="s">
        <v>215</v>
      </c>
      <c r="E88" s="23" t="s">
        <v>216</v>
      </c>
      <c r="F88" s="209"/>
      <c r="G88" s="210"/>
      <c r="H88" s="211"/>
      <c r="I88" s="212">
        <v>39</v>
      </c>
      <c r="J88" s="81"/>
      <c r="K88" s="213">
        <f t="shared" si="12"/>
        <v>0</v>
      </c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  <c r="AH88" s="214"/>
      <c r="AI88" s="214"/>
      <c r="AJ88" s="214"/>
      <c r="AK88" s="214"/>
      <c r="AL88" s="214"/>
      <c r="AM88" s="214"/>
      <c r="AN88" s="214"/>
      <c r="AO88" s="214"/>
      <c r="AP88" s="214"/>
      <c r="AQ88" s="214"/>
      <c r="AR88" s="214"/>
      <c r="AS88" s="214"/>
      <c r="AT88" s="214"/>
      <c r="AU88" s="214"/>
      <c r="AV88" s="214"/>
      <c r="AW88" s="214"/>
      <c r="AX88" s="214"/>
      <c r="AY88" s="214"/>
      <c r="AZ88" s="214"/>
      <c r="BA88" s="214"/>
      <c r="BB88" s="214"/>
      <c r="BC88" s="214"/>
      <c r="BD88" s="214"/>
      <c r="BE88" s="214"/>
      <c r="BF88" s="214"/>
      <c r="BG88" s="214"/>
      <c r="BH88" s="214"/>
      <c r="BI88" s="214"/>
      <c r="BJ88" s="214"/>
      <c r="BK88" s="214"/>
      <c r="BL88" s="214"/>
      <c r="BM88" s="214"/>
      <c r="BN88" s="214"/>
      <c r="BO88" s="214"/>
      <c r="BP88" s="214"/>
      <c r="BQ88" s="214"/>
      <c r="BR88" s="214"/>
      <c r="BS88" s="214"/>
      <c r="BT88" s="214"/>
      <c r="BU88" s="214"/>
      <c r="BV88" s="214"/>
      <c r="BW88" s="214"/>
      <c r="BX88" s="214"/>
      <c r="BY88" s="214"/>
      <c r="BZ88" s="214"/>
      <c r="CA88" s="214"/>
    </row>
    <row r="89" spans="1:79" s="215" customFormat="1" ht="21" customHeight="1" x14ac:dyDescent="0.25">
      <c r="A89" s="117" t="s">
        <v>217</v>
      </c>
      <c r="B89" s="186" t="s">
        <v>208</v>
      </c>
      <c r="C89" s="186" t="s">
        <v>218</v>
      </c>
      <c r="D89" s="187" t="s">
        <v>215</v>
      </c>
      <c r="E89" s="23" t="s">
        <v>219</v>
      </c>
      <c r="F89" s="209"/>
      <c r="G89" s="210"/>
      <c r="H89" s="211"/>
      <c r="I89" s="212">
        <v>32.5</v>
      </c>
      <c r="J89" s="81"/>
      <c r="K89" s="213">
        <f t="shared" si="12"/>
        <v>0</v>
      </c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  <c r="AH89" s="214"/>
      <c r="AI89" s="214"/>
      <c r="AJ89" s="214"/>
      <c r="AK89" s="214"/>
      <c r="AL89" s="214"/>
      <c r="AM89" s="214"/>
      <c r="AN89" s="214"/>
      <c r="AO89" s="214"/>
      <c r="AP89" s="214"/>
      <c r="AQ89" s="214"/>
      <c r="AR89" s="214"/>
      <c r="AS89" s="214"/>
      <c r="AT89" s="214"/>
      <c r="AU89" s="214"/>
      <c r="AV89" s="214"/>
      <c r="AW89" s="214"/>
      <c r="AX89" s="214"/>
      <c r="AY89" s="214"/>
      <c r="AZ89" s="214"/>
      <c r="BA89" s="214"/>
      <c r="BB89" s="214"/>
      <c r="BC89" s="214"/>
      <c r="BD89" s="214"/>
      <c r="BE89" s="214"/>
      <c r="BF89" s="214"/>
      <c r="BG89" s="214"/>
      <c r="BH89" s="214"/>
      <c r="BI89" s="214"/>
      <c r="BJ89" s="214"/>
      <c r="BK89" s="214"/>
      <c r="BL89" s="214"/>
      <c r="BM89" s="214"/>
      <c r="BN89" s="214"/>
      <c r="BO89" s="214"/>
      <c r="BP89" s="214"/>
      <c r="BQ89" s="214"/>
      <c r="BR89" s="214"/>
      <c r="BS89" s="214"/>
      <c r="BT89" s="214"/>
      <c r="BU89" s="214"/>
      <c r="BV89" s="214"/>
      <c r="BW89" s="214"/>
      <c r="BX89" s="214"/>
      <c r="BY89" s="214"/>
      <c r="BZ89" s="214"/>
      <c r="CA89" s="214"/>
    </row>
    <row r="90" spans="1:79" s="215" customFormat="1" ht="21" customHeight="1" x14ac:dyDescent="0.25">
      <c r="A90" s="117" t="s">
        <v>220</v>
      </c>
      <c r="B90" s="186" t="s">
        <v>28</v>
      </c>
      <c r="C90" s="186" t="s">
        <v>90</v>
      </c>
      <c r="D90" s="187" t="s">
        <v>215</v>
      </c>
      <c r="E90" s="23" t="s">
        <v>221</v>
      </c>
      <c r="F90" s="209"/>
      <c r="G90" s="210"/>
      <c r="H90" s="211"/>
      <c r="I90" s="212">
        <v>59</v>
      </c>
      <c r="J90" s="81"/>
      <c r="K90" s="213">
        <f t="shared" si="12"/>
        <v>0</v>
      </c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214"/>
      <c r="AJ90" s="214"/>
      <c r="AK90" s="214"/>
      <c r="AL90" s="214"/>
      <c r="AM90" s="214"/>
      <c r="AN90" s="214"/>
      <c r="AO90" s="214"/>
      <c r="AP90" s="214"/>
      <c r="AQ90" s="214"/>
      <c r="AR90" s="214"/>
      <c r="AS90" s="214"/>
      <c r="AT90" s="214"/>
      <c r="AU90" s="214"/>
      <c r="AV90" s="214"/>
      <c r="AW90" s="214"/>
      <c r="AX90" s="214"/>
      <c r="AY90" s="214"/>
      <c r="AZ90" s="214"/>
      <c r="BA90" s="214"/>
      <c r="BB90" s="214"/>
      <c r="BC90" s="214"/>
      <c r="BD90" s="214"/>
      <c r="BE90" s="214"/>
      <c r="BF90" s="214"/>
      <c r="BG90" s="214"/>
      <c r="BH90" s="214"/>
      <c r="BI90" s="214"/>
      <c r="BJ90" s="214"/>
      <c r="BK90" s="214"/>
      <c r="BL90" s="214"/>
      <c r="BM90" s="214"/>
      <c r="BN90" s="214"/>
      <c r="BO90" s="214"/>
      <c r="BP90" s="214"/>
      <c r="BQ90" s="214"/>
      <c r="BR90" s="214"/>
      <c r="BS90" s="214"/>
      <c r="BT90" s="214"/>
      <c r="BU90" s="214"/>
      <c r="BV90" s="214"/>
      <c r="BW90" s="214"/>
      <c r="BX90" s="214"/>
      <c r="BY90" s="214"/>
      <c r="BZ90" s="214"/>
      <c r="CA90" s="214"/>
    </row>
    <row r="91" spans="1:79" s="215" customFormat="1" ht="21" customHeight="1" x14ac:dyDescent="0.25">
      <c r="A91" s="117" t="s">
        <v>222</v>
      </c>
      <c r="B91" s="186" t="s">
        <v>28</v>
      </c>
      <c r="C91" s="186" t="s">
        <v>111</v>
      </c>
      <c r="D91" s="187" t="s">
        <v>215</v>
      </c>
      <c r="E91" s="23" t="s">
        <v>223</v>
      </c>
      <c r="F91" s="209"/>
      <c r="G91" s="210"/>
      <c r="H91" s="211"/>
      <c r="I91" s="212">
        <v>91</v>
      </c>
      <c r="J91" s="81"/>
      <c r="K91" s="213">
        <f t="shared" si="12"/>
        <v>0</v>
      </c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214"/>
      <c r="AJ91" s="214"/>
      <c r="AK91" s="214"/>
      <c r="AL91" s="214"/>
      <c r="AM91" s="214"/>
      <c r="AN91" s="214"/>
      <c r="AO91" s="214"/>
      <c r="AP91" s="214"/>
      <c r="AQ91" s="214"/>
      <c r="AR91" s="214"/>
      <c r="AS91" s="214"/>
      <c r="AT91" s="214"/>
      <c r="AU91" s="214"/>
      <c r="AV91" s="214"/>
      <c r="AW91" s="214"/>
      <c r="AX91" s="214"/>
      <c r="AY91" s="214"/>
      <c r="AZ91" s="214"/>
      <c r="BA91" s="214"/>
      <c r="BB91" s="214"/>
      <c r="BC91" s="214"/>
      <c r="BD91" s="214"/>
      <c r="BE91" s="214"/>
      <c r="BF91" s="214"/>
      <c r="BG91" s="214"/>
      <c r="BH91" s="214"/>
      <c r="BI91" s="214"/>
      <c r="BJ91" s="214"/>
      <c r="BK91" s="214"/>
      <c r="BL91" s="214"/>
      <c r="BM91" s="214"/>
      <c r="BN91" s="214"/>
      <c r="BO91" s="214"/>
      <c r="BP91" s="214"/>
      <c r="BQ91" s="214"/>
      <c r="BR91" s="214"/>
      <c r="BS91" s="214"/>
      <c r="BT91" s="214"/>
      <c r="BU91" s="214"/>
      <c r="BV91" s="214"/>
      <c r="BW91" s="214"/>
      <c r="BX91" s="214"/>
      <c r="BY91" s="214"/>
      <c r="BZ91" s="214"/>
      <c r="CA91" s="214"/>
    </row>
    <row r="92" spans="1:79" s="215" customFormat="1" ht="21" customHeight="1" x14ac:dyDescent="0.25">
      <c r="A92" s="117" t="s">
        <v>224</v>
      </c>
      <c r="B92" s="186" t="s">
        <v>208</v>
      </c>
      <c r="C92" s="186" t="s">
        <v>225</v>
      </c>
      <c r="D92" s="187" t="s">
        <v>215</v>
      </c>
      <c r="E92" s="23" t="s">
        <v>226</v>
      </c>
      <c r="F92" s="209"/>
      <c r="G92" s="210"/>
      <c r="H92" s="211"/>
      <c r="I92" s="212">
        <v>49.5</v>
      </c>
      <c r="J92" s="81"/>
      <c r="K92" s="213">
        <f t="shared" ref="K92" si="13">G92*I92</f>
        <v>0</v>
      </c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4"/>
      <c r="AZ92" s="214"/>
      <c r="BA92" s="214"/>
      <c r="BB92" s="214"/>
      <c r="BC92" s="214"/>
      <c r="BD92" s="214"/>
      <c r="BE92" s="214"/>
      <c r="BF92" s="214"/>
      <c r="BG92" s="214"/>
      <c r="BH92" s="214"/>
      <c r="BI92" s="214"/>
      <c r="BJ92" s="214"/>
      <c r="BK92" s="214"/>
      <c r="BL92" s="214"/>
      <c r="BM92" s="214"/>
      <c r="BN92" s="214"/>
      <c r="BO92" s="214"/>
      <c r="BP92" s="214"/>
      <c r="BQ92" s="214"/>
      <c r="BR92" s="214"/>
      <c r="BS92" s="214"/>
      <c r="BT92" s="214"/>
      <c r="BU92" s="214"/>
      <c r="BV92" s="214"/>
      <c r="BW92" s="214"/>
      <c r="BX92" s="214"/>
      <c r="BY92" s="214"/>
      <c r="BZ92" s="214"/>
      <c r="CA92" s="214"/>
    </row>
    <row r="93" spans="1:79" s="215" customFormat="1" ht="21" customHeight="1" x14ac:dyDescent="0.25">
      <c r="A93" s="117" t="s">
        <v>227</v>
      </c>
      <c r="B93" s="186" t="s">
        <v>28</v>
      </c>
      <c r="C93" s="186" t="s">
        <v>228</v>
      </c>
      <c r="D93" s="187" t="s">
        <v>215</v>
      </c>
      <c r="E93" s="23" t="s">
        <v>229</v>
      </c>
      <c r="F93" s="209"/>
      <c r="G93" s="210"/>
      <c r="H93" s="211"/>
      <c r="I93" s="212">
        <v>57</v>
      </c>
      <c r="J93" s="81"/>
      <c r="K93" s="213">
        <f t="shared" si="12"/>
        <v>0</v>
      </c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  <c r="AD93" s="214"/>
      <c r="AE93" s="214"/>
      <c r="AF93" s="214"/>
      <c r="AG93" s="214"/>
      <c r="AH93" s="214"/>
      <c r="AI93" s="214"/>
      <c r="AJ93" s="214"/>
      <c r="AK93" s="214"/>
      <c r="AL93" s="214"/>
      <c r="AM93" s="214"/>
      <c r="AN93" s="214"/>
      <c r="AO93" s="214"/>
      <c r="AP93" s="214"/>
      <c r="AQ93" s="214"/>
      <c r="AR93" s="214"/>
      <c r="AS93" s="214"/>
      <c r="AT93" s="214"/>
      <c r="AU93" s="214"/>
      <c r="AV93" s="214"/>
      <c r="AW93" s="214"/>
      <c r="AX93" s="214"/>
      <c r="AY93" s="214"/>
      <c r="AZ93" s="214"/>
      <c r="BA93" s="214"/>
      <c r="BB93" s="214"/>
      <c r="BC93" s="214"/>
      <c r="BD93" s="214"/>
      <c r="BE93" s="214"/>
      <c r="BF93" s="214"/>
      <c r="BG93" s="214"/>
      <c r="BH93" s="214"/>
      <c r="BI93" s="214"/>
      <c r="BJ93" s="214"/>
      <c r="BK93" s="214"/>
      <c r="BL93" s="214"/>
      <c r="BM93" s="214"/>
      <c r="BN93" s="214"/>
      <c r="BO93" s="214"/>
      <c r="BP93" s="214"/>
      <c r="BQ93" s="214"/>
      <c r="BR93" s="214"/>
      <c r="BS93" s="214"/>
      <c r="BT93" s="214"/>
      <c r="BU93" s="214"/>
      <c r="BV93" s="214"/>
      <c r="BW93" s="214"/>
      <c r="BX93" s="214"/>
      <c r="BY93" s="214"/>
      <c r="BZ93" s="214"/>
      <c r="CA93" s="214"/>
    </row>
    <row r="94" spans="1:79" s="215" customFormat="1" ht="21" customHeight="1" x14ac:dyDescent="0.25">
      <c r="A94" s="117" t="s">
        <v>230</v>
      </c>
      <c r="B94" s="186" t="s">
        <v>208</v>
      </c>
      <c r="C94" s="186" t="s">
        <v>218</v>
      </c>
      <c r="D94" s="187" t="s">
        <v>215</v>
      </c>
      <c r="E94" s="23" t="s">
        <v>231</v>
      </c>
      <c r="F94" s="209"/>
      <c r="G94" s="210"/>
      <c r="H94" s="211"/>
      <c r="I94" s="212">
        <v>31.5</v>
      </c>
      <c r="J94" s="81"/>
      <c r="K94" s="213">
        <f t="shared" si="12"/>
        <v>0</v>
      </c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  <c r="AK94" s="214"/>
      <c r="AL94" s="214"/>
      <c r="AM94" s="214"/>
      <c r="AN94" s="214"/>
      <c r="AO94" s="214"/>
      <c r="AP94" s="214"/>
      <c r="AQ94" s="214"/>
      <c r="AR94" s="214"/>
      <c r="AS94" s="214"/>
      <c r="AT94" s="214"/>
      <c r="AU94" s="214"/>
      <c r="AV94" s="214"/>
      <c r="AW94" s="214"/>
      <c r="AX94" s="214"/>
      <c r="AY94" s="214"/>
      <c r="AZ94" s="214"/>
      <c r="BA94" s="214"/>
      <c r="BB94" s="214"/>
      <c r="BC94" s="214"/>
      <c r="BD94" s="214"/>
      <c r="BE94" s="214"/>
      <c r="BF94" s="214"/>
      <c r="BG94" s="214"/>
      <c r="BH94" s="214"/>
      <c r="BI94" s="214"/>
      <c r="BJ94" s="214"/>
      <c r="BK94" s="214"/>
      <c r="BL94" s="214"/>
      <c r="BM94" s="214"/>
      <c r="BN94" s="214"/>
      <c r="BO94" s="214"/>
      <c r="BP94" s="214"/>
      <c r="BQ94" s="214"/>
      <c r="BR94" s="214"/>
      <c r="BS94" s="214"/>
      <c r="BT94" s="214"/>
      <c r="BU94" s="214"/>
      <c r="BV94" s="214"/>
      <c r="BW94" s="214"/>
      <c r="BX94" s="214"/>
      <c r="BY94" s="214"/>
      <c r="BZ94" s="214"/>
      <c r="CA94" s="214"/>
    </row>
    <row r="95" spans="1:79" s="215" customFormat="1" ht="21" customHeight="1" x14ac:dyDescent="0.25">
      <c r="A95" s="117" t="s">
        <v>232</v>
      </c>
      <c r="B95" s="186" t="s">
        <v>28</v>
      </c>
      <c r="C95" s="186" t="s">
        <v>90</v>
      </c>
      <c r="D95" s="187" t="s">
        <v>215</v>
      </c>
      <c r="E95" s="23" t="s">
        <v>233</v>
      </c>
      <c r="F95" s="209"/>
      <c r="G95" s="210"/>
      <c r="H95" s="211"/>
      <c r="I95" s="212">
        <v>57</v>
      </c>
      <c r="J95" s="81"/>
      <c r="K95" s="213">
        <f t="shared" si="12"/>
        <v>0</v>
      </c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214"/>
      <c r="AS95" s="214"/>
      <c r="AT95" s="214"/>
      <c r="AU95" s="214"/>
      <c r="AV95" s="214"/>
      <c r="AW95" s="214"/>
      <c r="AX95" s="214"/>
      <c r="AY95" s="214"/>
      <c r="AZ95" s="214"/>
      <c r="BA95" s="214"/>
      <c r="BB95" s="214"/>
      <c r="BC95" s="214"/>
      <c r="BD95" s="214"/>
      <c r="BE95" s="214"/>
      <c r="BF95" s="214"/>
      <c r="BG95" s="214"/>
      <c r="BH95" s="214"/>
      <c r="BI95" s="214"/>
      <c r="BJ95" s="214"/>
      <c r="BK95" s="214"/>
      <c r="BL95" s="214"/>
      <c r="BM95" s="214"/>
      <c r="BN95" s="214"/>
      <c r="BO95" s="214"/>
      <c r="BP95" s="214"/>
      <c r="BQ95" s="214"/>
      <c r="BR95" s="214"/>
      <c r="BS95" s="214"/>
      <c r="BT95" s="214"/>
      <c r="BU95" s="214"/>
      <c r="BV95" s="214"/>
      <c r="BW95" s="214"/>
      <c r="BX95" s="214"/>
      <c r="BY95" s="214"/>
      <c r="BZ95" s="214"/>
      <c r="CA95" s="214"/>
    </row>
    <row r="96" spans="1:79" s="215" customFormat="1" ht="21" customHeight="1" x14ac:dyDescent="0.25">
      <c r="A96" s="117" t="s">
        <v>234</v>
      </c>
      <c r="B96" s="186" t="s">
        <v>28</v>
      </c>
      <c r="C96" s="186" t="s">
        <v>228</v>
      </c>
      <c r="D96" s="187" t="s">
        <v>215</v>
      </c>
      <c r="E96" s="23" t="s">
        <v>235</v>
      </c>
      <c r="F96" s="209"/>
      <c r="G96" s="210"/>
      <c r="H96" s="211"/>
      <c r="I96" s="212">
        <v>55</v>
      </c>
      <c r="J96" s="81"/>
      <c r="K96" s="213">
        <f t="shared" si="12"/>
        <v>0</v>
      </c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  <c r="BA96" s="214"/>
      <c r="BB96" s="214"/>
      <c r="BC96" s="214"/>
      <c r="BD96" s="214"/>
      <c r="BE96" s="214"/>
      <c r="BF96" s="214"/>
      <c r="BG96" s="214"/>
      <c r="BH96" s="214"/>
      <c r="BI96" s="214"/>
      <c r="BJ96" s="214"/>
      <c r="BK96" s="214"/>
      <c r="BL96" s="214"/>
      <c r="BM96" s="214"/>
      <c r="BN96" s="214"/>
      <c r="BO96" s="214"/>
      <c r="BP96" s="214"/>
      <c r="BQ96" s="21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</row>
    <row r="97" spans="1:79" s="215" customFormat="1" ht="21" customHeight="1" x14ac:dyDescent="0.25">
      <c r="A97" s="117" t="s">
        <v>236</v>
      </c>
      <c r="B97" s="186" t="s">
        <v>208</v>
      </c>
      <c r="C97" s="186" t="s">
        <v>237</v>
      </c>
      <c r="D97" s="187" t="s">
        <v>238</v>
      </c>
      <c r="E97" s="23" t="s">
        <v>239</v>
      </c>
      <c r="F97" s="209"/>
      <c r="G97" s="210"/>
      <c r="H97" s="211"/>
      <c r="I97" s="212">
        <v>11</v>
      </c>
      <c r="J97" s="81"/>
      <c r="K97" s="213">
        <f t="shared" si="12"/>
        <v>0</v>
      </c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214"/>
      <c r="AJ97" s="214"/>
      <c r="AK97" s="214"/>
      <c r="AL97" s="214"/>
      <c r="AM97" s="214"/>
      <c r="AN97" s="214"/>
      <c r="AO97" s="214"/>
      <c r="AP97" s="214"/>
      <c r="AQ97" s="214"/>
      <c r="AR97" s="214"/>
      <c r="AS97" s="214"/>
      <c r="AT97" s="214"/>
      <c r="AU97" s="214"/>
      <c r="AV97" s="214"/>
      <c r="AW97" s="214"/>
      <c r="AX97" s="214"/>
      <c r="AY97" s="214"/>
      <c r="AZ97" s="214"/>
      <c r="BA97" s="214"/>
      <c r="BB97" s="214"/>
      <c r="BC97" s="214"/>
      <c r="BD97" s="214"/>
      <c r="BE97" s="214"/>
      <c r="BF97" s="214"/>
      <c r="BG97" s="214"/>
      <c r="BH97" s="214"/>
      <c r="BI97" s="214"/>
      <c r="BJ97" s="214"/>
      <c r="BK97" s="214"/>
      <c r="BL97" s="214"/>
      <c r="BM97" s="214"/>
      <c r="BN97" s="214"/>
      <c r="BO97" s="214"/>
      <c r="BP97" s="214"/>
      <c r="BQ97" s="214"/>
      <c r="BR97" s="214"/>
      <c r="BS97" s="214"/>
      <c r="BT97" s="214"/>
      <c r="BU97" s="214"/>
      <c r="BV97" s="214"/>
      <c r="BW97" s="214"/>
      <c r="BX97" s="214"/>
      <c r="BY97" s="214"/>
      <c r="BZ97" s="214"/>
      <c r="CA97" s="214"/>
    </row>
    <row r="98" spans="1:79" s="215" customFormat="1" ht="21" customHeight="1" x14ac:dyDescent="0.25">
      <c r="A98" s="117" t="s">
        <v>240</v>
      </c>
      <c r="B98" s="186" t="s">
        <v>241</v>
      </c>
      <c r="C98" s="186" t="s">
        <v>242</v>
      </c>
      <c r="D98" s="187" t="s">
        <v>238</v>
      </c>
      <c r="E98" s="23" t="s">
        <v>243</v>
      </c>
      <c r="F98" s="209"/>
      <c r="G98" s="210"/>
      <c r="H98" s="211"/>
      <c r="I98" s="212">
        <v>4.2</v>
      </c>
      <c r="J98" s="81" t="s">
        <v>244</v>
      </c>
      <c r="K98" s="213">
        <f t="shared" ref="K98" si="14">G98*I98</f>
        <v>0</v>
      </c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/>
      <c r="AM98" s="214"/>
      <c r="AN98" s="214"/>
      <c r="AO98" s="214"/>
      <c r="AP98" s="214"/>
      <c r="AQ98" s="214"/>
      <c r="AR98" s="214"/>
      <c r="AS98" s="214"/>
      <c r="AT98" s="214"/>
      <c r="AU98" s="214"/>
      <c r="AV98" s="214"/>
      <c r="AW98" s="214"/>
      <c r="AX98" s="214"/>
      <c r="AY98" s="214"/>
      <c r="AZ98" s="214"/>
      <c r="BA98" s="214"/>
      <c r="BB98" s="214"/>
      <c r="BC98" s="214"/>
      <c r="BD98" s="214"/>
      <c r="BE98" s="214"/>
      <c r="BF98" s="214"/>
      <c r="BG98" s="214"/>
      <c r="BH98" s="214"/>
      <c r="BI98" s="214"/>
      <c r="BJ98" s="214"/>
      <c r="BK98" s="214"/>
      <c r="BL98" s="214"/>
      <c r="BM98" s="214"/>
      <c r="BN98" s="214"/>
      <c r="BO98" s="214"/>
      <c r="BP98" s="214"/>
      <c r="BQ98" s="214"/>
      <c r="BR98" s="214"/>
      <c r="BS98" s="214"/>
      <c r="BT98" s="214"/>
      <c r="BU98" s="214"/>
      <c r="BV98" s="214"/>
      <c r="BW98" s="214"/>
      <c r="BX98" s="214"/>
      <c r="BY98" s="214"/>
      <c r="BZ98" s="214"/>
      <c r="CA98" s="214"/>
    </row>
    <row r="99" spans="1:79" s="215" customFormat="1" ht="21" customHeight="1" x14ac:dyDescent="0.25">
      <c r="A99" s="117" t="s">
        <v>245</v>
      </c>
      <c r="B99" s="186" t="s">
        <v>65</v>
      </c>
      <c r="C99" s="186" t="s">
        <v>66</v>
      </c>
      <c r="D99" s="187" t="s">
        <v>238</v>
      </c>
      <c r="E99" s="23" t="s">
        <v>246</v>
      </c>
      <c r="F99" s="209"/>
      <c r="G99" s="210"/>
      <c r="H99" s="211"/>
      <c r="I99" s="212">
        <v>36</v>
      </c>
      <c r="J99" s="81"/>
      <c r="K99" s="213">
        <f t="shared" si="12"/>
        <v>0</v>
      </c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  <c r="AT99" s="214"/>
      <c r="AU99" s="214"/>
      <c r="AV99" s="214"/>
      <c r="AW99" s="214"/>
      <c r="AX99" s="214"/>
      <c r="AY99" s="214"/>
      <c r="AZ99" s="214"/>
      <c r="BA99" s="214"/>
      <c r="BB99" s="214"/>
      <c r="BC99" s="214"/>
      <c r="BD99" s="214"/>
      <c r="BE99" s="214"/>
      <c r="BF99" s="214"/>
      <c r="BG99" s="214"/>
      <c r="BH99" s="214"/>
      <c r="BI99" s="214"/>
      <c r="BJ99" s="214"/>
      <c r="BK99" s="214"/>
      <c r="BL99" s="214"/>
      <c r="BM99" s="214"/>
      <c r="BN99" s="214"/>
      <c r="BO99" s="214"/>
      <c r="BP99" s="214"/>
      <c r="BQ99" s="214"/>
      <c r="BR99" s="214"/>
      <c r="BS99" s="214"/>
      <c r="BT99" s="214"/>
      <c r="BU99" s="214"/>
      <c r="BV99" s="214"/>
      <c r="BW99" s="214"/>
      <c r="BX99" s="214"/>
      <c r="BY99" s="214"/>
      <c r="BZ99" s="214"/>
      <c r="CA99" s="214"/>
    </row>
    <row r="100" spans="1:79" s="215" customFormat="1" ht="21" customHeight="1" x14ac:dyDescent="0.25">
      <c r="A100" s="117" t="s">
        <v>247</v>
      </c>
      <c r="B100" s="186" t="s">
        <v>65</v>
      </c>
      <c r="C100" s="186" t="s">
        <v>248</v>
      </c>
      <c r="D100" s="187" t="s">
        <v>71</v>
      </c>
      <c r="E100" s="23" t="s">
        <v>249</v>
      </c>
      <c r="F100" s="209"/>
      <c r="G100" s="210"/>
      <c r="H100" s="211"/>
      <c r="I100" s="212">
        <v>94</v>
      </c>
      <c r="J100" s="81"/>
      <c r="K100" s="213">
        <f t="shared" si="12"/>
        <v>0</v>
      </c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214"/>
      <c r="AY100" s="214"/>
      <c r="AZ100" s="214"/>
      <c r="BA100" s="214"/>
      <c r="BB100" s="214"/>
      <c r="BC100" s="214"/>
      <c r="BD100" s="214"/>
      <c r="BE100" s="214"/>
      <c r="BF100" s="214"/>
      <c r="BG100" s="214"/>
      <c r="BH100" s="214"/>
      <c r="BI100" s="214"/>
      <c r="BJ100" s="214"/>
      <c r="BK100" s="214"/>
      <c r="BL100" s="214"/>
      <c r="BM100" s="214"/>
      <c r="BN100" s="214"/>
      <c r="BO100" s="214"/>
      <c r="BP100" s="214"/>
      <c r="BQ100" s="214"/>
      <c r="BR100" s="214"/>
      <c r="BS100" s="214"/>
      <c r="BT100" s="214"/>
      <c r="BU100" s="214"/>
      <c r="BV100" s="214"/>
      <c r="BW100" s="214"/>
      <c r="BX100" s="214"/>
      <c r="BY100" s="214"/>
      <c r="BZ100" s="214"/>
      <c r="CA100" s="214"/>
    </row>
    <row r="101" spans="1:79" s="215" customFormat="1" ht="21" customHeight="1" x14ac:dyDescent="0.25">
      <c r="A101" s="117" t="s">
        <v>250</v>
      </c>
      <c r="B101" s="186" t="s">
        <v>65</v>
      </c>
      <c r="C101" s="186" t="s">
        <v>136</v>
      </c>
      <c r="D101" s="187" t="s">
        <v>238</v>
      </c>
      <c r="E101" s="23" t="s">
        <v>251</v>
      </c>
      <c r="F101" s="209"/>
      <c r="G101" s="210"/>
      <c r="H101" s="211"/>
      <c r="I101" s="212">
        <v>39</v>
      </c>
      <c r="J101" s="81"/>
      <c r="K101" s="213">
        <f t="shared" si="12"/>
        <v>0</v>
      </c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  <c r="AM101" s="214"/>
      <c r="AN101" s="214"/>
      <c r="AO101" s="214"/>
      <c r="AP101" s="214"/>
      <c r="AQ101" s="214"/>
      <c r="AR101" s="214"/>
      <c r="AS101" s="214"/>
      <c r="AT101" s="214"/>
      <c r="AU101" s="214"/>
      <c r="AV101" s="214"/>
      <c r="AW101" s="214"/>
      <c r="AX101" s="214"/>
      <c r="AY101" s="214"/>
      <c r="AZ101" s="214"/>
      <c r="BA101" s="214"/>
      <c r="BB101" s="214"/>
      <c r="BC101" s="214"/>
      <c r="BD101" s="214"/>
      <c r="BE101" s="214"/>
      <c r="BF101" s="214"/>
      <c r="BG101" s="214"/>
      <c r="BH101" s="214"/>
      <c r="BI101" s="214"/>
      <c r="BJ101" s="214"/>
      <c r="BK101" s="214"/>
      <c r="BL101" s="214"/>
      <c r="BM101" s="214"/>
      <c r="BN101" s="214"/>
      <c r="BO101" s="214"/>
      <c r="BP101" s="214"/>
      <c r="BQ101" s="214"/>
      <c r="BR101" s="214"/>
      <c r="BS101" s="214"/>
      <c r="BT101" s="214"/>
      <c r="BU101" s="214"/>
      <c r="BV101" s="214"/>
      <c r="BW101" s="214"/>
      <c r="BX101" s="214"/>
      <c r="BY101" s="214"/>
      <c r="BZ101" s="214"/>
      <c r="CA101" s="214"/>
    </row>
    <row r="102" spans="1:79" s="215" customFormat="1" ht="21" customHeight="1" x14ac:dyDescent="0.25">
      <c r="A102" s="117" t="s">
        <v>252</v>
      </c>
      <c r="B102" s="186" t="s">
        <v>65</v>
      </c>
      <c r="C102" s="186" t="s">
        <v>248</v>
      </c>
      <c r="D102" s="187" t="s">
        <v>71</v>
      </c>
      <c r="E102" s="23" t="s">
        <v>253</v>
      </c>
      <c r="F102" s="209"/>
      <c r="G102" s="210"/>
      <c r="H102" s="211"/>
      <c r="I102" s="212">
        <v>54</v>
      </c>
      <c r="J102" s="81"/>
      <c r="K102" s="213">
        <f t="shared" ref="K102" si="15">G102*I102</f>
        <v>0</v>
      </c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  <c r="BA102" s="214"/>
      <c r="BB102" s="214"/>
      <c r="BC102" s="214"/>
      <c r="BD102" s="214"/>
      <c r="BE102" s="214"/>
      <c r="BF102" s="214"/>
      <c r="BG102" s="214"/>
      <c r="BH102" s="214"/>
      <c r="BI102" s="214"/>
      <c r="BJ102" s="214"/>
      <c r="BK102" s="214"/>
      <c r="BL102" s="214"/>
      <c r="BM102" s="214"/>
      <c r="BN102" s="214"/>
      <c r="BO102" s="214"/>
      <c r="BP102" s="214"/>
      <c r="BQ102" s="21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</row>
    <row r="103" spans="1:79" s="215" customFormat="1" ht="21" customHeight="1" x14ac:dyDescent="0.25">
      <c r="A103" s="117" t="s">
        <v>254</v>
      </c>
      <c r="B103" s="186" t="s">
        <v>65</v>
      </c>
      <c r="C103" s="186" t="s">
        <v>66</v>
      </c>
      <c r="D103" s="187" t="s">
        <v>238</v>
      </c>
      <c r="E103" s="23" t="s">
        <v>255</v>
      </c>
      <c r="F103" s="209"/>
      <c r="G103" s="210"/>
      <c r="H103" s="211"/>
      <c r="I103" s="212">
        <v>42</v>
      </c>
      <c r="J103" s="81"/>
      <c r="K103" s="213">
        <f t="shared" si="12"/>
        <v>0</v>
      </c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214"/>
      <c r="AJ103" s="214"/>
      <c r="AK103" s="214"/>
      <c r="AL103" s="214"/>
      <c r="AM103" s="214"/>
      <c r="AN103" s="214"/>
      <c r="AO103" s="214"/>
      <c r="AP103" s="214"/>
      <c r="AQ103" s="214"/>
      <c r="AR103" s="214"/>
      <c r="AS103" s="214"/>
      <c r="AT103" s="214"/>
      <c r="AU103" s="214"/>
      <c r="AV103" s="214"/>
      <c r="AW103" s="214"/>
      <c r="AX103" s="214"/>
      <c r="AY103" s="214"/>
      <c r="AZ103" s="214"/>
      <c r="BA103" s="214"/>
      <c r="BB103" s="214"/>
      <c r="BC103" s="214"/>
      <c r="BD103" s="214"/>
      <c r="BE103" s="214"/>
      <c r="BF103" s="214"/>
      <c r="BG103" s="214"/>
      <c r="BH103" s="214"/>
      <c r="BI103" s="214"/>
      <c r="BJ103" s="214"/>
      <c r="BK103" s="214"/>
      <c r="BL103" s="214"/>
      <c r="BM103" s="214"/>
      <c r="BN103" s="214"/>
      <c r="BO103" s="214"/>
      <c r="BP103" s="214"/>
      <c r="BQ103" s="214"/>
      <c r="BR103" s="214"/>
      <c r="BS103" s="214"/>
      <c r="BT103" s="214"/>
      <c r="BU103" s="214"/>
      <c r="BV103" s="214"/>
      <c r="BW103" s="214"/>
      <c r="BX103" s="214"/>
      <c r="BY103" s="214"/>
      <c r="BZ103" s="214"/>
      <c r="CA103" s="214"/>
    </row>
    <row r="104" spans="1:79" s="215" customFormat="1" ht="21" customHeight="1" x14ac:dyDescent="0.25">
      <c r="A104" s="117" t="s">
        <v>254</v>
      </c>
      <c r="B104" s="186" t="s">
        <v>65</v>
      </c>
      <c r="C104" s="186" t="s">
        <v>66</v>
      </c>
      <c r="D104" s="187" t="s">
        <v>71</v>
      </c>
      <c r="E104" s="23" t="s">
        <v>256</v>
      </c>
      <c r="F104" s="209"/>
      <c r="G104" s="210"/>
      <c r="H104" s="211"/>
      <c r="I104" s="212">
        <v>67</v>
      </c>
      <c r="J104" s="81"/>
      <c r="K104" s="213">
        <f t="shared" si="12"/>
        <v>0</v>
      </c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  <c r="AK104" s="214"/>
      <c r="AL104" s="214"/>
      <c r="AM104" s="214"/>
      <c r="AN104" s="214"/>
      <c r="AO104" s="214"/>
      <c r="AP104" s="214"/>
      <c r="AQ104" s="214"/>
      <c r="AR104" s="214"/>
      <c r="AS104" s="214"/>
      <c r="AT104" s="214"/>
      <c r="AU104" s="214"/>
      <c r="AV104" s="214"/>
      <c r="AW104" s="214"/>
      <c r="AX104" s="214"/>
      <c r="AY104" s="214"/>
      <c r="AZ104" s="214"/>
      <c r="BA104" s="214"/>
      <c r="BB104" s="214"/>
      <c r="BC104" s="214"/>
      <c r="BD104" s="214"/>
      <c r="BE104" s="214"/>
      <c r="BF104" s="214"/>
      <c r="BG104" s="214"/>
      <c r="BH104" s="214"/>
      <c r="BI104" s="214"/>
      <c r="BJ104" s="214"/>
      <c r="BK104" s="214"/>
      <c r="BL104" s="214"/>
      <c r="BM104" s="214"/>
      <c r="BN104" s="214"/>
      <c r="BO104" s="214"/>
      <c r="BP104" s="214"/>
      <c r="BQ104" s="214"/>
      <c r="BR104" s="214"/>
      <c r="BS104" s="214"/>
      <c r="BT104" s="214"/>
      <c r="BU104" s="214"/>
      <c r="BV104" s="214"/>
      <c r="BW104" s="214"/>
      <c r="BX104" s="214"/>
      <c r="BY104" s="214"/>
      <c r="BZ104" s="214"/>
      <c r="CA104" s="214"/>
    </row>
    <row r="105" spans="1:79" s="215" customFormat="1" ht="21" customHeight="1" x14ac:dyDescent="0.25">
      <c r="A105" s="117" t="s">
        <v>257</v>
      </c>
      <c r="B105" s="186" t="s">
        <v>65</v>
      </c>
      <c r="C105" s="186" t="s">
        <v>41</v>
      </c>
      <c r="D105" s="187" t="s">
        <v>238</v>
      </c>
      <c r="E105" s="23" t="s">
        <v>258</v>
      </c>
      <c r="F105" s="209"/>
      <c r="G105" s="210"/>
      <c r="H105" s="211"/>
      <c r="I105" s="212">
        <v>4.5</v>
      </c>
      <c r="J105" s="81" t="s">
        <v>259</v>
      </c>
      <c r="K105" s="213">
        <f t="shared" si="12"/>
        <v>0</v>
      </c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  <c r="AK105" s="214"/>
      <c r="AL105" s="214"/>
      <c r="AM105" s="214"/>
      <c r="AN105" s="214"/>
      <c r="AO105" s="214"/>
      <c r="AP105" s="214"/>
      <c r="AQ105" s="214"/>
      <c r="AR105" s="214"/>
      <c r="AS105" s="214"/>
      <c r="AT105" s="214"/>
      <c r="AU105" s="214"/>
      <c r="AV105" s="214"/>
      <c r="AW105" s="214"/>
      <c r="AX105" s="214"/>
      <c r="AY105" s="214"/>
      <c r="AZ105" s="214"/>
      <c r="BA105" s="214"/>
      <c r="BB105" s="214"/>
      <c r="BC105" s="214"/>
      <c r="BD105" s="214"/>
      <c r="BE105" s="214"/>
      <c r="BF105" s="214"/>
      <c r="BG105" s="214"/>
      <c r="BH105" s="214"/>
      <c r="BI105" s="214"/>
      <c r="BJ105" s="214"/>
      <c r="BK105" s="214"/>
      <c r="BL105" s="214"/>
      <c r="BM105" s="214"/>
      <c r="BN105" s="214"/>
      <c r="BO105" s="214"/>
      <c r="BP105" s="214"/>
      <c r="BQ105" s="214"/>
      <c r="BR105" s="214"/>
      <c r="BS105" s="214"/>
      <c r="BT105" s="214"/>
      <c r="BU105" s="214"/>
      <c r="BV105" s="214"/>
      <c r="BW105" s="214"/>
      <c r="BX105" s="214"/>
      <c r="BY105" s="214"/>
      <c r="BZ105" s="214"/>
      <c r="CA105" s="214"/>
    </row>
    <row r="106" spans="1:79" s="215" customFormat="1" ht="21" customHeight="1" x14ac:dyDescent="0.25">
      <c r="A106" s="117" t="s">
        <v>260</v>
      </c>
      <c r="B106" s="186" t="s">
        <v>65</v>
      </c>
      <c r="C106" s="186" t="s">
        <v>66</v>
      </c>
      <c r="D106" s="187" t="s">
        <v>238</v>
      </c>
      <c r="E106" s="23" t="s">
        <v>261</v>
      </c>
      <c r="F106" s="209"/>
      <c r="G106" s="210"/>
      <c r="H106" s="211"/>
      <c r="I106" s="212">
        <v>35</v>
      </c>
      <c r="J106" s="81"/>
      <c r="K106" s="213">
        <f t="shared" ref="K106:K110" si="16">G106*I106</f>
        <v>0</v>
      </c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214"/>
      <c r="AJ106" s="214"/>
      <c r="AK106" s="214"/>
      <c r="AL106" s="214"/>
      <c r="AM106" s="214"/>
      <c r="AN106" s="214"/>
      <c r="AO106" s="214"/>
      <c r="AP106" s="214"/>
      <c r="AQ106" s="214"/>
      <c r="AR106" s="214"/>
      <c r="AS106" s="214"/>
      <c r="AT106" s="214"/>
      <c r="AU106" s="214"/>
      <c r="AV106" s="214"/>
      <c r="AW106" s="214"/>
      <c r="AX106" s="214"/>
      <c r="AY106" s="214"/>
      <c r="AZ106" s="214"/>
      <c r="BA106" s="214"/>
      <c r="BB106" s="214"/>
      <c r="BC106" s="214"/>
      <c r="BD106" s="214"/>
      <c r="BE106" s="214"/>
      <c r="BF106" s="214"/>
      <c r="BG106" s="214"/>
      <c r="BH106" s="214"/>
      <c r="BI106" s="214"/>
      <c r="BJ106" s="214"/>
      <c r="BK106" s="214"/>
      <c r="BL106" s="214"/>
      <c r="BM106" s="214"/>
      <c r="BN106" s="214"/>
      <c r="BO106" s="214"/>
      <c r="BP106" s="214"/>
      <c r="BQ106" s="214"/>
      <c r="BR106" s="214"/>
      <c r="BS106" s="214"/>
      <c r="BT106" s="214"/>
      <c r="BU106" s="214"/>
      <c r="BV106" s="214"/>
      <c r="BW106" s="214"/>
      <c r="BX106" s="214"/>
      <c r="BY106" s="214"/>
      <c r="BZ106" s="214"/>
      <c r="CA106" s="214"/>
    </row>
    <row r="107" spans="1:79" s="215" customFormat="1" ht="21" customHeight="1" x14ac:dyDescent="0.25">
      <c r="A107" s="117" t="s">
        <v>262</v>
      </c>
      <c r="B107" s="186" t="s">
        <v>65</v>
      </c>
      <c r="C107" s="186" t="s">
        <v>66</v>
      </c>
      <c r="D107" s="187" t="s">
        <v>71</v>
      </c>
      <c r="E107" s="23" t="s">
        <v>263</v>
      </c>
      <c r="F107" s="209"/>
      <c r="G107" s="210"/>
      <c r="H107" s="211"/>
      <c r="I107" s="212">
        <v>40</v>
      </c>
      <c r="J107" s="81"/>
      <c r="K107" s="213">
        <f t="shared" si="16"/>
        <v>0</v>
      </c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  <c r="AA107" s="214"/>
      <c r="AB107" s="214"/>
      <c r="AC107" s="214"/>
      <c r="AD107" s="214"/>
      <c r="AE107" s="214"/>
      <c r="AF107" s="214"/>
      <c r="AG107" s="214"/>
      <c r="AH107" s="214"/>
      <c r="AI107" s="214"/>
      <c r="AJ107" s="214"/>
      <c r="AK107" s="214"/>
      <c r="AL107" s="214"/>
      <c r="AM107" s="214"/>
      <c r="AN107" s="214"/>
      <c r="AO107" s="214"/>
      <c r="AP107" s="214"/>
      <c r="AQ107" s="214"/>
      <c r="AR107" s="214"/>
      <c r="AS107" s="214"/>
      <c r="AT107" s="214"/>
      <c r="AU107" s="214"/>
      <c r="AV107" s="214"/>
      <c r="AW107" s="214"/>
      <c r="AX107" s="214"/>
      <c r="AY107" s="214"/>
      <c r="AZ107" s="214"/>
      <c r="BA107" s="214"/>
      <c r="BB107" s="214"/>
      <c r="BC107" s="214"/>
      <c r="BD107" s="214"/>
      <c r="BE107" s="214"/>
      <c r="BF107" s="214"/>
      <c r="BG107" s="214"/>
      <c r="BH107" s="214"/>
      <c r="BI107" s="214"/>
      <c r="BJ107" s="214"/>
      <c r="BK107" s="214"/>
      <c r="BL107" s="214"/>
      <c r="BM107" s="214"/>
      <c r="BN107" s="214"/>
      <c r="BO107" s="214"/>
      <c r="BP107" s="214"/>
      <c r="BQ107" s="214"/>
      <c r="BR107" s="214"/>
      <c r="BS107" s="214"/>
      <c r="BT107" s="214"/>
      <c r="BU107" s="214"/>
      <c r="BV107" s="214"/>
      <c r="BW107" s="214"/>
      <c r="BX107" s="214"/>
      <c r="BY107" s="214"/>
      <c r="BZ107" s="214"/>
      <c r="CA107" s="214"/>
    </row>
    <row r="108" spans="1:79" s="215" customFormat="1" ht="21" customHeight="1" x14ac:dyDescent="0.25">
      <c r="A108" s="117" t="s">
        <v>264</v>
      </c>
      <c r="B108" s="186" t="s">
        <v>187</v>
      </c>
      <c r="C108" s="186" t="s">
        <v>84</v>
      </c>
      <c r="D108" s="187" t="s">
        <v>118</v>
      </c>
      <c r="E108" s="23" t="s">
        <v>265</v>
      </c>
      <c r="F108" s="209"/>
      <c r="G108" s="210"/>
      <c r="H108" s="211"/>
      <c r="I108" s="212">
        <v>47</v>
      </c>
      <c r="J108" s="81" t="s">
        <v>266</v>
      </c>
      <c r="K108" s="213">
        <f t="shared" si="16"/>
        <v>0</v>
      </c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14"/>
      <c r="AJ108" s="214"/>
      <c r="AK108" s="214"/>
      <c r="AL108" s="214"/>
      <c r="AM108" s="214"/>
      <c r="AN108" s="214"/>
      <c r="AO108" s="214"/>
      <c r="AP108" s="214"/>
      <c r="AQ108" s="214"/>
      <c r="AR108" s="214"/>
      <c r="AS108" s="214"/>
      <c r="AT108" s="214"/>
      <c r="AU108" s="214"/>
      <c r="AV108" s="214"/>
      <c r="AW108" s="214"/>
      <c r="AX108" s="214"/>
      <c r="AY108" s="214"/>
      <c r="AZ108" s="214"/>
      <c r="BA108" s="214"/>
      <c r="BB108" s="214"/>
      <c r="BC108" s="214"/>
      <c r="BD108" s="214"/>
      <c r="BE108" s="214"/>
      <c r="BF108" s="214"/>
      <c r="BG108" s="214"/>
      <c r="BH108" s="214"/>
      <c r="BI108" s="214"/>
      <c r="BJ108" s="214"/>
      <c r="BK108" s="214"/>
      <c r="BL108" s="214"/>
      <c r="BM108" s="214"/>
      <c r="BN108" s="214"/>
      <c r="BO108" s="214"/>
      <c r="BP108" s="214"/>
      <c r="BQ108" s="214"/>
      <c r="BR108" s="214"/>
      <c r="BS108" s="214"/>
      <c r="BT108" s="214"/>
      <c r="BU108" s="214"/>
      <c r="BV108" s="214"/>
      <c r="BW108" s="214"/>
      <c r="BX108" s="214"/>
      <c r="BY108" s="214"/>
      <c r="BZ108" s="214"/>
      <c r="CA108" s="214"/>
    </row>
    <row r="109" spans="1:79" s="215" customFormat="1" ht="21" customHeight="1" x14ac:dyDescent="0.25">
      <c r="A109" s="117" t="s">
        <v>267</v>
      </c>
      <c r="B109" s="186" t="s">
        <v>45</v>
      </c>
      <c r="C109" s="186" t="s">
        <v>46</v>
      </c>
      <c r="D109" s="187" t="s">
        <v>268</v>
      </c>
      <c r="E109" s="23" t="s">
        <v>269</v>
      </c>
      <c r="F109" s="209"/>
      <c r="G109" s="210"/>
      <c r="H109" s="211"/>
      <c r="I109" s="212">
        <v>27</v>
      </c>
      <c r="J109" s="81"/>
      <c r="K109" s="213">
        <f t="shared" si="16"/>
        <v>0</v>
      </c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214"/>
      <c r="AD109" s="214"/>
      <c r="AE109" s="214"/>
      <c r="AF109" s="214"/>
      <c r="AG109" s="214"/>
      <c r="AH109" s="214"/>
      <c r="AI109" s="214"/>
      <c r="AJ109" s="214"/>
      <c r="AK109" s="214"/>
      <c r="AL109" s="214"/>
      <c r="AM109" s="214"/>
      <c r="AN109" s="214"/>
      <c r="AO109" s="214"/>
      <c r="AP109" s="214"/>
      <c r="AQ109" s="214"/>
      <c r="AR109" s="214"/>
      <c r="AS109" s="214"/>
      <c r="AT109" s="214"/>
      <c r="AU109" s="214"/>
      <c r="AV109" s="214"/>
      <c r="AW109" s="214"/>
      <c r="AX109" s="214"/>
      <c r="AY109" s="214"/>
      <c r="AZ109" s="214"/>
      <c r="BA109" s="214"/>
      <c r="BB109" s="214"/>
      <c r="BC109" s="214"/>
      <c r="BD109" s="214"/>
      <c r="BE109" s="214"/>
      <c r="BF109" s="214"/>
      <c r="BG109" s="214"/>
      <c r="BH109" s="214"/>
      <c r="BI109" s="214"/>
      <c r="BJ109" s="214"/>
      <c r="BK109" s="214"/>
      <c r="BL109" s="214"/>
      <c r="BM109" s="214"/>
      <c r="BN109" s="214"/>
      <c r="BO109" s="214"/>
      <c r="BP109" s="214"/>
      <c r="BQ109" s="214"/>
      <c r="BR109" s="214"/>
      <c r="BS109" s="214"/>
      <c r="BT109" s="214"/>
      <c r="BU109" s="214"/>
      <c r="BV109" s="214"/>
      <c r="BW109" s="214"/>
      <c r="BX109" s="214"/>
      <c r="BY109" s="214"/>
      <c r="BZ109" s="214"/>
      <c r="CA109" s="214"/>
    </row>
    <row r="110" spans="1:79" s="215" customFormat="1" ht="21" customHeight="1" x14ac:dyDescent="0.25">
      <c r="A110" s="117" t="s">
        <v>270</v>
      </c>
      <c r="B110" s="186" t="s">
        <v>45</v>
      </c>
      <c r="C110" s="186" t="s">
        <v>41</v>
      </c>
      <c r="D110" s="187" t="s">
        <v>271</v>
      </c>
      <c r="E110" s="23" t="s">
        <v>272</v>
      </c>
      <c r="F110" s="209"/>
      <c r="G110" s="210"/>
      <c r="H110" s="211"/>
      <c r="I110" s="212">
        <v>29</v>
      </c>
      <c r="J110" s="81"/>
      <c r="K110" s="213">
        <f t="shared" si="16"/>
        <v>0</v>
      </c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4"/>
      <c r="AL110" s="214"/>
      <c r="AM110" s="214"/>
      <c r="AN110" s="214"/>
      <c r="AO110" s="214"/>
      <c r="AP110" s="214"/>
      <c r="AQ110" s="214"/>
      <c r="AR110" s="214"/>
      <c r="AS110" s="214"/>
      <c r="AT110" s="214"/>
      <c r="AU110" s="214"/>
      <c r="AV110" s="214"/>
      <c r="AW110" s="214"/>
      <c r="AX110" s="214"/>
      <c r="AY110" s="214"/>
      <c r="AZ110" s="214"/>
      <c r="BA110" s="214"/>
      <c r="BB110" s="214"/>
      <c r="BC110" s="214"/>
      <c r="BD110" s="214"/>
      <c r="BE110" s="214"/>
      <c r="BF110" s="214"/>
      <c r="BG110" s="214"/>
      <c r="BH110" s="214"/>
      <c r="BI110" s="214"/>
      <c r="BJ110" s="214"/>
      <c r="BK110" s="214"/>
      <c r="BL110" s="214"/>
      <c r="BM110" s="214"/>
      <c r="BN110" s="214"/>
      <c r="BO110" s="214"/>
      <c r="BP110" s="214"/>
      <c r="BQ110" s="214"/>
      <c r="BR110" s="214"/>
      <c r="BS110" s="214"/>
      <c r="BT110" s="214"/>
      <c r="BU110" s="214"/>
      <c r="BV110" s="214"/>
      <c r="BW110" s="214"/>
      <c r="BX110" s="214"/>
      <c r="BY110" s="214"/>
      <c r="BZ110" s="214"/>
      <c r="CA110" s="214"/>
    </row>
    <row r="111" spans="1:79" s="215" customFormat="1" ht="21" customHeight="1" x14ac:dyDescent="0.25">
      <c r="A111" s="117" t="s">
        <v>273</v>
      </c>
      <c r="B111" s="186" t="s">
        <v>65</v>
      </c>
      <c r="C111" s="186" t="s">
        <v>248</v>
      </c>
      <c r="D111" s="187" t="s">
        <v>274</v>
      </c>
      <c r="E111" s="23" t="s">
        <v>275</v>
      </c>
      <c r="F111" s="209"/>
      <c r="G111" s="210"/>
      <c r="H111" s="211"/>
      <c r="I111" s="212">
        <v>80</v>
      </c>
      <c r="J111" s="81"/>
      <c r="K111" s="213">
        <f t="shared" si="12"/>
        <v>0</v>
      </c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214"/>
      <c r="AD111" s="214"/>
      <c r="AE111" s="214"/>
      <c r="AF111" s="214"/>
      <c r="AG111" s="214"/>
      <c r="AH111" s="214"/>
      <c r="AI111" s="214"/>
      <c r="AJ111" s="214"/>
      <c r="AK111" s="214"/>
      <c r="AL111" s="214"/>
      <c r="AM111" s="214"/>
      <c r="AN111" s="214"/>
      <c r="AO111" s="214"/>
      <c r="AP111" s="214"/>
      <c r="AQ111" s="214"/>
      <c r="AR111" s="214"/>
      <c r="AS111" s="214"/>
      <c r="AT111" s="214"/>
      <c r="AU111" s="214"/>
      <c r="AV111" s="214"/>
      <c r="AW111" s="214"/>
      <c r="AX111" s="214"/>
      <c r="AY111" s="214"/>
      <c r="AZ111" s="214"/>
      <c r="BA111" s="214"/>
      <c r="BB111" s="214"/>
      <c r="BC111" s="214"/>
      <c r="BD111" s="214"/>
      <c r="BE111" s="214"/>
      <c r="BF111" s="214"/>
      <c r="BG111" s="214"/>
      <c r="BH111" s="214"/>
      <c r="BI111" s="214"/>
      <c r="BJ111" s="214"/>
      <c r="BK111" s="214"/>
      <c r="BL111" s="214"/>
      <c r="BM111" s="214"/>
      <c r="BN111" s="214"/>
      <c r="BO111" s="214"/>
      <c r="BP111" s="214"/>
      <c r="BQ111" s="214"/>
      <c r="BR111" s="214"/>
      <c r="BS111" s="214"/>
      <c r="BT111" s="214"/>
      <c r="BU111" s="214"/>
      <c r="BV111" s="214"/>
      <c r="BW111" s="214"/>
      <c r="BX111" s="214"/>
      <c r="BY111" s="214"/>
      <c r="BZ111" s="214"/>
      <c r="CA111" s="214"/>
    </row>
    <row r="112" spans="1:79" s="215" customFormat="1" ht="21" customHeight="1" x14ac:dyDescent="0.25">
      <c r="A112" s="117" t="s">
        <v>276</v>
      </c>
      <c r="B112" s="186" t="s">
        <v>28</v>
      </c>
      <c r="C112" s="186" t="s">
        <v>121</v>
      </c>
      <c r="D112" s="187" t="s">
        <v>277</v>
      </c>
      <c r="E112" s="23" t="s">
        <v>278</v>
      </c>
      <c r="F112" s="209"/>
      <c r="G112" s="210"/>
      <c r="H112" s="211"/>
      <c r="I112" s="212">
        <v>60</v>
      </c>
      <c r="J112" s="81"/>
      <c r="K112" s="213">
        <f>G112*I112</f>
        <v>0</v>
      </c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  <c r="AA112" s="214"/>
      <c r="AB112" s="214"/>
      <c r="AC112" s="214"/>
      <c r="AD112" s="214"/>
      <c r="AE112" s="214"/>
      <c r="AF112" s="214"/>
      <c r="AG112" s="214"/>
      <c r="AH112" s="214"/>
      <c r="AI112" s="214"/>
      <c r="AJ112" s="214"/>
      <c r="AK112" s="214"/>
      <c r="AL112" s="214"/>
      <c r="AM112" s="214"/>
      <c r="AN112" s="214"/>
      <c r="AO112" s="214"/>
      <c r="AP112" s="214"/>
      <c r="AQ112" s="214"/>
      <c r="AR112" s="214"/>
      <c r="AS112" s="214"/>
      <c r="AT112" s="214"/>
      <c r="AU112" s="214"/>
      <c r="AV112" s="214"/>
      <c r="AW112" s="214"/>
      <c r="AX112" s="214"/>
      <c r="AY112" s="214"/>
      <c r="AZ112" s="214"/>
      <c r="BA112" s="214"/>
      <c r="BB112" s="214"/>
      <c r="BC112" s="214"/>
      <c r="BD112" s="214"/>
      <c r="BE112" s="214"/>
      <c r="BF112" s="214"/>
      <c r="BG112" s="214"/>
      <c r="BH112" s="214"/>
      <c r="BI112" s="214"/>
      <c r="BJ112" s="214"/>
      <c r="BK112" s="214"/>
      <c r="BL112" s="214"/>
      <c r="BM112" s="214"/>
      <c r="BN112" s="214"/>
      <c r="BO112" s="214"/>
      <c r="BP112" s="214"/>
      <c r="BQ112" s="214"/>
      <c r="BR112" s="214"/>
      <c r="BS112" s="214"/>
      <c r="BT112" s="214"/>
      <c r="BU112" s="214"/>
      <c r="BV112" s="214"/>
      <c r="BW112" s="214"/>
      <c r="BX112" s="214"/>
      <c r="BY112" s="214"/>
      <c r="BZ112" s="214"/>
      <c r="CA112" s="214"/>
    </row>
    <row r="113" spans="1:79" s="215" customFormat="1" ht="21" customHeight="1" x14ac:dyDescent="0.25">
      <c r="A113" s="117" t="s">
        <v>279</v>
      </c>
      <c r="B113" s="186" t="s">
        <v>65</v>
      </c>
      <c r="C113" s="186" t="s">
        <v>136</v>
      </c>
      <c r="D113" s="187" t="s">
        <v>280</v>
      </c>
      <c r="E113" s="23" t="s">
        <v>281</v>
      </c>
      <c r="F113" s="209"/>
      <c r="G113" s="210"/>
      <c r="H113" s="211"/>
      <c r="I113" s="212">
        <v>67</v>
      </c>
      <c r="J113" s="81"/>
      <c r="K113" s="213">
        <f>G113*I113</f>
        <v>0</v>
      </c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214"/>
      <c r="AD113" s="214"/>
      <c r="AE113" s="214"/>
      <c r="AF113" s="214"/>
      <c r="AG113" s="214"/>
      <c r="AH113" s="214"/>
      <c r="AI113" s="214"/>
      <c r="AJ113" s="214"/>
      <c r="AK113" s="214"/>
      <c r="AL113" s="214"/>
      <c r="AM113" s="214"/>
      <c r="AN113" s="214"/>
      <c r="AO113" s="214"/>
      <c r="AP113" s="214"/>
      <c r="AQ113" s="214"/>
      <c r="AR113" s="214"/>
      <c r="AS113" s="214"/>
      <c r="AT113" s="214"/>
      <c r="AU113" s="214"/>
      <c r="AV113" s="214"/>
      <c r="AW113" s="214"/>
      <c r="AX113" s="214"/>
      <c r="AY113" s="214"/>
      <c r="AZ113" s="214"/>
      <c r="BA113" s="214"/>
      <c r="BB113" s="214"/>
      <c r="BC113" s="214"/>
      <c r="BD113" s="214"/>
      <c r="BE113" s="214"/>
      <c r="BF113" s="214"/>
      <c r="BG113" s="214"/>
      <c r="BH113" s="214"/>
      <c r="BI113" s="214"/>
      <c r="BJ113" s="214"/>
      <c r="BK113" s="214"/>
      <c r="BL113" s="214"/>
      <c r="BM113" s="214"/>
      <c r="BN113" s="214"/>
      <c r="BO113" s="214"/>
      <c r="BP113" s="214"/>
      <c r="BQ113" s="214"/>
      <c r="BR113" s="214"/>
      <c r="BS113" s="214"/>
      <c r="BT113" s="214"/>
      <c r="BU113" s="214"/>
      <c r="BV113" s="214"/>
      <c r="BW113" s="214"/>
      <c r="BX113" s="214"/>
      <c r="BY113" s="214"/>
      <c r="BZ113" s="214"/>
      <c r="CA113" s="214"/>
    </row>
    <row r="114" spans="1:79" s="215" customFormat="1" ht="21" customHeight="1" x14ac:dyDescent="0.25">
      <c r="A114" s="117" t="s">
        <v>282</v>
      </c>
      <c r="B114" s="186" t="s">
        <v>28</v>
      </c>
      <c r="C114" s="186" t="s">
        <v>121</v>
      </c>
      <c r="D114" s="187" t="s">
        <v>274</v>
      </c>
      <c r="E114" s="23" t="s">
        <v>283</v>
      </c>
      <c r="F114" s="209"/>
      <c r="G114" s="210"/>
      <c r="H114" s="211"/>
      <c r="I114" s="212">
        <v>55</v>
      </c>
      <c r="J114" s="81"/>
      <c r="K114" s="213">
        <f>G114*I114</f>
        <v>0</v>
      </c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  <c r="AT114" s="214"/>
      <c r="AU114" s="214"/>
      <c r="AV114" s="214"/>
      <c r="AW114" s="214"/>
      <c r="AX114" s="214"/>
      <c r="AY114" s="214"/>
      <c r="AZ114" s="214"/>
      <c r="BA114" s="214"/>
      <c r="BB114" s="214"/>
      <c r="BC114" s="214"/>
      <c r="BD114" s="214"/>
      <c r="BE114" s="214"/>
      <c r="BF114" s="214"/>
      <c r="BG114" s="214"/>
      <c r="BH114" s="214"/>
      <c r="BI114" s="214"/>
      <c r="BJ114" s="214"/>
      <c r="BK114" s="214"/>
      <c r="BL114" s="214"/>
      <c r="BM114" s="214"/>
      <c r="BN114" s="214"/>
      <c r="BO114" s="214"/>
      <c r="BP114" s="214"/>
      <c r="BQ114" s="214"/>
      <c r="BR114" s="214"/>
      <c r="BS114" s="214"/>
      <c r="BT114" s="214"/>
      <c r="BU114" s="214"/>
      <c r="BV114" s="214"/>
      <c r="BW114" s="214"/>
      <c r="BX114" s="214"/>
      <c r="BY114" s="214"/>
      <c r="BZ114" s="214"/>
      <c r="CA114" s="214"/>
    </row>
    <row r="115" spans="1:79" s="215" customFormat="1" ht="21" customHeight="1" x14ac:dyDescent="0.25">
      <c r="A115" s="117" t="s">
        <v>284</v>
      </c>
      <c r="B115" s="186" t="s">
        <v>28</v>
      </c>
      <c r="C115" s="186" t="s">
        <v>66</v>
      </c>
      <c r="D115" s="187" t="s">
        <v>148</v>
      </c>
      <c r="E115" s="23" t="s">
        <v>1303</v>
      </c>
      <c r="F115" s="209"/>
      <c r="G115" s="210"/>
      <c r="H115" s="211"/>
      <c r="I115" s="212">
        <v>24</v>
      </c>
      <c r="J115" s="81"/>
      <c r="K115" s="213">
        <f t="shared" si="12"/>
        <v>0</v>
      </c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  <c r="AA115" s="214"/>
      <c r="AB115" s="214"/>
      <c r="AC115" s="214"/>
      <c r="AD115" s="214"/>
      <c r="AE115" s="214"/>
      <c r="AF115" s="214"/>
      <c r="AG115" s="214"/>
      <c r="AH115" s="214"/>
      <c r="AI115" s="214"/>
      <c r="AJ115" s="214"/>
      <c r="AK115" s="214"/>
      <c r="AL115" s="214"/>
      <c r="AM115" s="214"/>
      <c r="AN115" s="214"/>
      <c r="AO115" s="214"/>
      <c r="AP115" s="214"/>
      <c r="AQ115" s="214"/>
      <c r="AR115" s="214"/>
      <c r="AS115" s="214"/>
      <c r="AT115" s="214"/>
      <c r="AU115" s="214"/>
      <c r="AV115" s="214"/>
      <c r="AW115" s="214"/>
      <c r="AX115" s="214"/>
      <c r="AY115" s="214"/>
      <c r="AZ115" s="214"/>
      <c r="BA115" s="214"/>
      <c r="BB115" s="214"/>
      <c r="BC115" s="214"/>
      <c r="BD115" s="214"/>
      <c r="BE115" s="214"/>
      <c r="BF115" s="214"/>
      <c r="BG115" s="214"/>
      <c r="BH115" s="214"/>
      <c r="BI115" s="214"/>
      <c r="BJ115" s="214"/>
      <c r="BK115" s="214"/>
      <c r="BL115" s="214"/>
      <c r="BM115" s="214"/>
      <c r="BN115" s="214"/>
      <c r="BO115" s="214"/>
      <c r="BP115" s="214"/>
      <c r="BQ115" s="214"/>
      <c r="BR115" s="214"/>
      <c r="BS115" s="214"/>
      <c r="BT115" s="214"/>
      <c r="BU115" s="214"/>
      <c r="BV115" s="214"/>
      <c r="BW115" s="214"/>
      <c r="BX115" s="214"/>
      <c r="BY115" s="214"/>
      <c r="BZ115" s="214"/>
      <c r="CA115" s="214"/>
    </row>
    <row r="116" spans="1:79" s="215" customFormat="1" ht="21" customHeight="1" x14ac:dyDescent="0.25">
      <c r="A116" s="117" t="s">
        <v>1304</v>
      </c>
      <c r="B116" s="186" t="s">
        <v>28</v>
      </c>
      <c r="C116" s="186" t="s">
        <v>66</v>
      </c>
      <c r="D116" s="187" t="s">
        <v>1305</v>
      </c>
      <c r="E116" s="23" t="s">
        <v>1318</v>
      </c>
      <c r="F116" s="209"/>
      <c r="G116" s="210"/>
      <c r="H116" s="211"/>
      <c r="I116" s="212">
        <v>34</v>
      </c>
      <c r="J116" s="81"/>
      <c r="K116" s="213">
        <f>G116*I116</f>
        <v>0</v>
      </c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  <c r="AA116" s="214"/>
      <c r="AB116" s="214"/>
      <c r="AC116" s="214"/>
      <c r="AD116" s="214"/>
      <c r="AE116" s="214"/>
      <c r="AF116" s="214"/>
      <c r="AG116" s="214"/>
      <c r="AH116" s="214"/>
      <c r="AI116" s="214"/>
      <c r="AJ116" s="214"/>
      <c r="AK116" s="214"/>
      <c r="AL116" s="214"/>
      <c r="AM116" s="214"/>
      <c r="AN116" s="214"/>
      <c r="AO116" s="214"/>
      <c r="AP116" s="214"/>
      <c r="AQ116" s="214"/>
      <c r="AR116" s="214"/>
      <c r="AS116" s="214"/>
      <c r="AT116" s="214"/>
      <c r="AU116" s="214"/>
      <c r="AV116" s="214"/>
      <c r="AW116" s="214"/>
      <c r="AX116" s="214"/>
      <c r="AY116" s="214"/>
      <c r="AZ116" s="214"/>
      <c r="BA116" s="214"/>
      <c r="BB116" s="214"/>
      <c r="BC116" s="214"/>
      <c r="BD116" s="214"/>
      <c r="BE116" s="214"/>
      <c r="BF116" s="214"/>
      <c r="BG116" s="214"/>
      <c r="BH116" s="214"/>
      <c r="BI116" s="214"/>
      <c r="BJ116" s="214"/>
      <c r="BK116" s="214"/>
      <c r="BL116" s="214"/>
      <c r="BM116" s="214"/>
      <c r="BN116" s="214"/>
      <c r="BO116" s="214"/>
      <c r="BP116" s="214"/>
      <c r="BQ116" s="214"/>
      <c r="BR116" s="214"/>
      <c r="BS116" s="214"/>
      <c r="BT116" s="214"/>
      <c r="BU116" s="214"/>
      <c r="BV116" s="214"/>
      <c r="BW116" s="214"/>
      <c r="BX116" s="214"/>
      <c r="BY116" s="214"/>
      <c r="BZ116" s="214"/>
      <c r="CA116" s="214"/>
    </row>
    <row r="117" spans="1:79" s="215" customFormat="1" ht="21" customHeight="1" x14ac:dyDescent="0.25">
      <c r="A117" s="117" t="s">
        <v>286</v>
      </c>
      <c r="B117" s="186" t="s">
        <v>28</v>
      </c>
      <c r="C117" s="186" t="s">
        <v>121</v>
      </c>
      <c r="D117" s="187" t="s">
        <v>127</v>
      </c>
      <c r="E117" s="23" t="s">
        <v>287</v>
      </c>
      <c r="F117" s="209"/>
      <c r="G117" s="210"/>
      <c r="H117" s="211"/>
      <c r="I117" s="212">
        <v>66</v>
      </c>
      <c r="J117" s="81"/>
      <c r="K117" s="213">
        <f t="shared" si="12"/>
        <v>0</v>
      </c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  <c r="AK117" s="214"/>
      <c r="AL117" s="214"/>
      <c r="AM117" s="214"/>
      <c r="AN117" s="214"/>
      <c r="AO117" s="214"/>
      <c r="AP117" s="214"/>
      <c r="AQ117" s="214"/>
      <c r="AR117" s="214"/>
      <c r="AS117" s="214"/>
      <c r="AT117" s="214"/>
      <c r="AU117" s="214"/>
      <c r="AV117" s="214"/>
      <c r="AW117" s="214"/>
      <c r="AX117" s="214"/>
      <c r="AY117" s="214"/>
      <c r="AZ117" s="214"/>
      <c r="BA117" s="214"/>
      <c r="BB117" s="214"/>
      <c r="BC117" s="214"/>
      <c r="BD117" s="214"/>
      <c r="BE117" s="214"/>
      <c r="BF117" s="214"/>
      <c r="BG117" s="214"/>
      <c r="BH117" s="214"/>
      <c r="BI117" s="214"/>
      <c r="BJ117" s="214"/>
      <c r="BK117" s="214"/>
      <c r="BL117" s="214"/>
      <c r="BM117" s="214"/>
      <c r="BN117" s="214"/>
      <c r="BO117" s="214"/>
      <c r="BP117" s="214"/>
      <c r="BQ117" s="214"/>
      <c r="BR117" s="214"/>
      <c r="BS117" s="214"/>
      <c r="BT117" s="214"/>
      <c r="BU117" s="214"/>
      <c r="BV117" s="214"/>
      <c r="BW117" s="214"/>
      <c r="BX117" s="214"/>
      <c r="BY117" s="214"/>
      <c r="BZ117" s="214"/>
      <c r="CA117" s="214"/>
    </row>
    <row r="118" spans="1:79" s="215" customFormat="1" ht="21" customHeight="1" x14ac:dyDescent="0.25">
      <c r="A118" s="117" t="s">
        <v>288</v>
      </c>
      <c r="B118" s="186" t="s">
        <v>65</v>
      </c>
      <c r="C118" s="186" t="s">
        <v>66</v>
      </c>
      <c r="D118" s="187" t="s">
        <v>71</v>
      </c>
      <c r="E118" s="23" t="s">
        <v>289</v>
      </c>
      <c r="F118" s="209"/>
      <c r="G118" s="210"/>
      <c r="H118" s="211"/>
      <c r="I118" s="212">
        <v>60</v>
      </c>
      <c r="J118" s="81"/>
      <c r="K118" s="213">
        <f>G118*I118</f>
        <v>0</v>
      </c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  <c r="AM118" s="214"/>
      <c r="AN118" s="214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214"/>
      <c r="AY118" s="214"/>
      <c r="AZ118" s="214"/>
      <c r="BA118" s="214"/>
      <c r="BB118" s="214"/>
      <c r="BC118" s="214"/>
      <c r="BD118" s="214"/>
      <c r="BE118" s="214"/>
      <c r="BF118" s="214"/>
      <c r="BG118" s="214"/>
      <c r="BH118" s="214"/>
      <c r="BI118" s="214"/>
      <c r="BJ118" s="214"/>
      <c r="BK118" s="214"/>
      <c r="BL118" s="214"/>
      <c r="BM118" s="214"/>
      <c r="BN118" s="214"/>
      <c r="BO118" s="214"/>
      <c r="BP118" s="214"/>
      <c r="BQ118" s="214"/>
      <c r="BR118" s="214"/>
      <c r="BS118" s="214"/>
      <c r="BT118" s="214"/>
      <c r="BU118" s="214"/>
      <c r="BV118" s="214"/>
      <c r="BW118" s="214"/>
      <c r="BX118" s="214"/>
      <c r="BY118" s="214"/>
      <c r="BZ118" s="214"/>
      <c r="CA118" s="214"/>
    </row>
    <row r="119" spans="1:79" s="215" customFormat="1" ht="21" customHeight="1" x14ac:dyDescent="0.25">
      <c r="A119" s="117" t="s">
        <v>290</v>
      </c>
      <c r="B119" s="186" t="s">
        <v>187</v>
      </c>
      <c r="C119" s="186" t="s">
        <v>105</v>
      </c>
      <c r="D119" s="187" t="s">
        <v>71</v>
      </c>
      <c r="E119" s="23" t="s">
        <v>291</v>
      </c>
      <c r="F119" s="209"/>
      <c r="G119" s="210"/>
      <c r="H119" s="211"/>
      <c r="I119" s="212">
        <v>40</v>
      </c>
      <c r="J119" s="81"/>
      <c r="K119" s="213">
        <f>G119*I119</f>
        <v>0</v>
      </c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  <c r="AA119" s="214"/>
      <c r="AB119" s="214"/>
      <c r="AC119" s="214"/>
      <c r="AD119" s="214"/>
      <c r="AE119" s="214"/>
      <c r="AF119" s="214"/>
      <c r="AG119" s="214"/>
      <c r="AH119" s="214"/>
      <c r="AI119" s="214"/>
      <c r="AJ119" s="214"/>
      <c r="AK119" s="214"/>
      <c r="AL119" s="214"/>
      <c r="AM119" s="214"/>
      <c r="AN119" s="214"/>
      <c r="AO119" s="214"/>
      <c r="AP119" s="214"/>
      <c r="AQ119" s="214"/>
      <c r="AR119" s="214"/>
      <c r="AS119" s="214"/>
      <c r="AT119" s="214"/>
      <c r="AU119" s="214"/>
      <c r="AV119" s="214"/>
      <c r="AW119" s="214"/>
      <c r="AX119" s="214"/>
      <c r="AY119" s="214"/>
      <c r="AZ119" s="214"/>
      <c r="BA119" s="214"/>
      <c r="BB119" s="214"/>
      <c r="BC119" s="214"/>
      <c r="BD119" s="214"/>
      <c r="BE119" s="214"/>
      <c r="BF119" s="214"/>
      <c r="BG119" s="214"/>
      <c r="BH119" s="214"/>
      <c r="BI119" s="214"/>
      <c r="BJ119" s="214"/>
      <c r="BK119" s="214"/>
      <c r="BL119" s="214"/>
      <c r="BM119" s="214"/>
      <c r="BN119" s="214"/>
      <c r="BO119" s="214"/>
      <c r="BP119" s="214"/>
      <c r="BQ119" s="214"/>
      <c r="BR119" s="214"/>
      <c r="BS119" s="214"/>
      <c r="BT119" s="214"/>
      <c r="BU119" s="214"/>
      <c r="BV119" s="214"/>
      <c r="BW119" s="214"/>
      <c r="BX119" s="214"/>
      <c r="BY119" s="214"/>
      <c r="BZ119" s="214"/>
      <c r="CA119" s="214"/>
    </row>
    <row r="120" spans="1:79" s="215" customFormat="1" ht="21" customHeight="1" x14ac:dyDescent="0.25">
      <c r="A120" s="117" t="s">
        <v>292</v>
      </c>
      <c r="B120" s="186" t="s">
        <v>28</v>
      </c>
      <c r="C120" s="186" t="s">
        <v>131</v>
      </c>
      <c r="D120" s="187" t="s">
        <v>293</v>
      </c>
      <c r="E120" s="23" t="s">
        <v>294</v>
      </c>
      <c r="F120" s="209"/>
      <c r="G120" s="210"/>
      <c r="H120" s="211"/>
      <c r="I120" s="212">
        <v>53</v>
      </c>
      <c r="J120" s="81" t="s">
        <v>25</v>
      </c>
      <c r="K120" s="213">
        <f>G120*I120</f>
        <v>0</v>
      </c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  <c r="AK120" s="214"/>
      <c r="AL120" s="214"/>
      <c r="AM120" s="214"/>
      <c r="AN120" s="214"/>
      <c r="AO120" s="214"/>
      <c r="AP120" s="214"/>
      <c r="AQ120" s="214"/>
      <c r="AR120" s="214"/>
      <c r="AS120" s="214"/>
      <c r="AT120" s="214"/>
      <c r="AU120" s="214"/>
      <c r="AV120" s="214"/>
      <c r="AW120" s="214"/>
      <c r="AX120" s="214"/>
      <c r="AY120" s="214"/>
      <c r="AZ120" s="214"/>
      <c r="BA120" s="214"/>
      <c r="BB120" s="214"/>
      <c r="BC120" s="214"/>
      <c r="BD120" s="214"/>
      <c r="BE120" s="214"/>
      <c r="BF120" s="214"/>
      <c r="BG120" s="214"/>
      <c r="BH120" s="214"/>
      <c r="BI120" s="214"/>
      <c r="BJ120" s="214"/>
      <c r="BK120" s="214"/>
      <c r="BL120" s="214"/>
      <c r="BM120" s="214"/>
      <c r="BN120" s="214"/>
      <c r="BO120" s="214"/>
      <c r="BP120" s="214"/>
      <c r="BQ120" s="214"/>
      <c r="BR120" s="214"/>
      <c r="BS120" s="214"/>
      <c r="BT120" s="214"/>
      <c r="BU120" s="214"/>
      <c r="BV120" s="214"/>
      <c r="BW120" s="214"/>
      <c r="BX120" s="214"/>
      <c r="BY120" s="214"/>
      <c r="BZ120" s="214"/>
      <c r="CA120" s="214"/>
    </row>
    <row r="121" spans="1:79" s="215" customFormat="1" ht="21" customHeight="1" x14ac:dyDescent="0.25">
      <c r="A121" s="117" t="s">
        <v>295</v>
      </c>
      <c r="B121" s="186" t="s">
        <v>28</v>
      </c>
      <c r="C121" s="186" t="s">
        <v>131</v>
      </c>
      <c r="D121" s="187" t="s">
        <v>296</v>
      </c>
      <c r="E121" s="23" t="s">
        <v>297</v>
      </c>
      <c r="F121" s="209"/>
      <c r="G121" s="210"/>
      <c r="H121" s="211"/>
      <c r="I121" s="212">
        <v>53</v>
      </c>
      <c r="J121" s="81" t="s">
        <v>25</v>
      </c>
      <c r="K121" s="213">
        <f>G121*I121</f>
        <v>0</v>
      </c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4"/>
      <c r="AN121" s="214"/>
      <c r="AO121" s="214"/>
      <c r="AP121" s="214"/>
      <c r="AQ121" s="214"/>
      <c r="AR121" s="214"/>
      <c r="AS121" s="214"/>
      <c r="AT121" s="214"/>
      <c r="AU121" s="214"/>
      <c r="AV121" s="214"/>
      <c r="AW121" s="214"/>
      <c r="AX121" s="214"/>
      <c r="AY121" s="214"/>
      <c r="AZ121" s="214"/>
      <c r="BA121" s="214"/>
      <c r="BB121" s="214"/>
      <c r="BC121" s="214"/>
      <c r="BD121" s="214"/>
      <c r="BE121" s="214"/>
      <c r="BF121" s="214"/>
      <c r="BG121" s="214"/>
      <c r="BH121" s="214"/>
      <c r="BI121" s="214"/>
      <c r="BJ121" s="214"/>
      <c r="BK121" s="214"/>
      <c r="BL121" s="214"/>
      <c r="BM121" s="214"/>
      <c r="BN121" s="214"/>
      <c r="BO121" s="214"/>
      <c r="BP121" s="214"/>
      <c r="BQ121" s="214"/>
      <c r="BR121" s="214"/>
      <c r="BS121" s="214"/>
      <c r="BT121" s="214"/>
      <c r="BU121" s="214"/>
      <c r="BV121" s="214"/>
      <c r="BW121" s="214"/>
      <c r="BX121" s="214"/>
      <c r="BY121" s="214"/>
      <c r="BZ121" s="214"/>
      <c r="CA121" s="214"/>
    </row>
    <row r="122" spans="1:79" s="215" customFormat="1" ht="21" customHeight="1" x14ac:dyDescent="0.25">
      <c r="A122" s="117" t="s">
        <v>295</v>
      </c>
      <c r="B122" s="186" t="s">
        <v>65</v>
      </c>
      <c r="C122" s="186" t="s">
        <v>248</v>
      </c>
      <c r="D122" s="187" t="s">
        <v>285</v>
      </c>
      <c r="E122" s="23" t="s">
        <v>298</v>
      </c>
      <c r="F122" s="209"/>
      <c r="G122" s="210"/>
      <c r="H122" s="211"/>
      <c r="I122" s="212">
        <v>80</v>
      </c>
      <c r="J122" s="81"/>
      <c r="K122" s="213">
        <f t="shared" si="12"/>
        <v>0</v>
      </c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14"/>
      <c r="AQ122" s="214"/>
      <c r="AR122" s="214"/>
      <c r="AS122" s="214"/>
      <c r="AT122" s="214"/>
      <c r="AU122" s="214"/>
      <c r="AV122" s="214"/>
      <c r="AW122" s="214"/>
      <c r="AX122" s="214"/>
      <c r="AY122" s="214"/>
      <c r="AZ122" s="214"/>
      <c r="BA122" s="214"/>
      <c r="BB122" s="214"/>
      <c r="BC122" s="214"/>
      <c r="BD122" s="214"/>
      <c r="BE122" s="214"/>
      <c r="BF122" s="214"/>
      <c r="BG122" s="214"/>
      <c r="BH122" s="214"/>
      <c r="BI122" s="214"/>
      <c r="BJ122" s="214"/>
      <c r="BK122" s="214"/>
      <c r="BL122" s="214"/>
      <c r="BM122" s="214"/>
      <c r="BN122" s="214"/>
      <c r="BO122" s="214"/>
      <c r="BP122" s="214"/>
      <c r="BQ122" s="214"/>
      <c r="BR122" s="214"/>
      <c r="BS122" s="214"/>
      <c r="BT122" s="214"/>
      <c r="BU122" s="214"/>
      <c r="BV122" s="214"/>
      <c r="BW122" s="214"/>
      <c r="BX122" s="214"/>
      <c r="BY122" s="214"/>
      <c r="BZ122" s="214"/>
      <c r="CA122" s="214"/>
    </row>
    <row r="123" spans="1:79" s="215" customFormat="1" ht="21" customHeight="1" x14ac:dyDescent="0.25">
      <c r="A123" s="117" t="s">
        <v>299</v>
      </c>
      <c r="B123" s="186" t="s">
        <v>28</v>
      </c>
      <c r="C123" s="186" t="s">
        <v>131</v>
      </c>
      <c r="D123" s="187" t="s">
        <v>127</v>
      </c>
      <c r="E123" s="23" t="s">
        <v>300</v>
      </c>
      <c r="F123" s="209"/>
      <c r="G123" s="210"/>
      <c r="H123" s="211"/>
      <c r="I123" s="212">
        <v>52</v>
      </c>
      <c r="J123" s="81"/>
      <c r="K123" s="213">
        <f t="shared" ref="K123" si="17">G123*I123</f>
        <v>0</v>
      </c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  <c r="AK123" s="214"/>
      <c r="AL123" s="214"/>
      <c r="AM123" s="214"/>
      <c r="AN123" s="214"/>
      <c r="AO123" s="214"/>
      <c r="AP123" s="214"/>
      <c r="AQ123" s="214"/>
      <c r="AR123" s="214"/>
      <c r="AS123" s="214"/>
      <c r="AT123" s="214"/>
      <c r="AU123" s="214"/>
      <c r="AV123" s="214"/>
      <c r="AW123" s="214"/>
      <c r="AX123" s="214"/>
      <c r="AY123" s="214"/>
      <c r="AZ123" s="214"/>
      <c r="BA123" s="214"/>
      <c r="BB123" s="214"/>
      <c r="BC123" s="214"/>
      <c r="BD123" s="214"/>
      <c r="BE123" s="214"/>
      <c r="BF123" s="214"/>
      <c r="BG123" s="214"/>
      <c r="BH123" s="214"/>
      <c r="BI123" s="214"/>
      <c r="BJ123" s="214"/>
      <c r="BK123" s="214"/>
      <c r="BL123" s="214"/>
      <c r="BM123" s="214"/>
      <c r="BN123" s="214"/>
      <c r="BO123" s="214"/>
      <c r="BP123" s="214"/>
      <c r="BQ123" s="214"/>
      <c r="BR123" s="214"/>
      <c r="BS123" s="214"/>
      <c r="BT123" s="214"/>
      <c r="BU123" s="214"/>
      <c r="BV123" s="214"/>
      <c r="BW123" s="214"/>
      <c r="BX123" s="214"/>
      <c r="BY123" s="214"/>
      <c r="BZ123" s="214"/>
      <c r="CA123" s="214"/>
    </row>
    <row r="124" spans="1:79" s="215" customFormat="1" ht="21" customHeight="1" x14ac:dyDescent="0.25">
      <c r="A124" s="117" t="s">
        <v>301</v>
      </c>
      <c r="B124" s="186" t="s">
        <v>28</v>
      </c>
      <c r="C124" s="186" t="s">
        <v>131</v>
      </c>
      <c r="D124" s="187" t="s">
        <v>127</v>
      </c>
      <c r="E124" s="23" t="s">
        <v>302</v>
      </c>
      <c r="F124" s="209"/>
      <c r="G124" s="210"/>
      <c r="H124" s="211"/>
      <c r="I124" s="212">
        <v>34</v>
      </c>
      <c r="J124" s="81"/>
      <c r="K124" s="213">
        <f t="shared" ref="K124" si="18">G124*I124</f>
        <v>0</v>
      </c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  <c r="Y124" s="214"/>
      <c r="Z124" s="214"/>
      <c r="AA124" s="214"/>
      <c r="AB124" s="214"/>
      <c r="AC124" s="214"/>
      <c r="AD124" s="214"/>
      <c r="AE124" s="214"/>
      <c r="AF124" s="214"/>
      <c r="AG124" s="214"/>
      <c r="AH124" s="214"/>
      <c r="AI124" s="214"/>
      <c r="AJ124" s="214"/>
      <c r="AK124" s="214"/>
      <c r="AL124" s="214"/>
      <c r="AM124" s="214"/>
      <c r="AN124" s="214"/>
      <c r="AO124" s="214"/>
      <c r="AP124" s="214"/>
      <c r="AQ124" s="214"/>
      <c r="AR124" s="214"/>
      <c r="AS124" s="214"/>
      <c r="AT124" s="214"/>
      <c r="AU124" s="214"/>
      <c r="AV124" s="214"/>
      <c r="AW124" s="214"/>
      <c r="AX124" s="214"/>
      <c r="AY124" s="214"/>
      <c r="AZ124" s="214"/>
      <c r="BA124" s="214"/>
      <c r="BB124" s="214"/>
      <c r="BC124" s="214"/>
      <c r="BD124" s="214"/>
      <c r="BE124" s="214"/>
      <c r="BF124" s="214"/>
      <c r="BG124" s="214"/>
      <c r="BH124" s="214"/>
      <c r="BI124" s="214"/>
      <c r="BJ124" s="214"/>
      <c r="BK124" s="214"/>
      <c r="BL124" s="214"/>
      <c r="BM124" s="214"/>
      <c r="BN124" s="214"/>
      <c r="BO124" s="214"/>
      <c r="BP124" s="214"/>
      <c r="BQ124" s="214"/>
      <c r="BR124" s="214"/>
      <c r="BS124" s="214"/>
      <c r="BT124" s="214"/>
      <c r="BU124" s="214"/>
      <c r="BV124" s="214"/>
      <c r="BW124" s="214"/>
      <c r="BX124" s="214"/>
      <c r="BY124" s="214"/>
      <c r="BZ124" s="214"/>
      <c r="CA124" s="214"/>
    </row>
    <row r="125" spans="1:79" s="215" customFormat="1" ht="21" customHeight="1" x14ac:dyDescent="0.25">
      <c r="A125" s="117" t="s">
        <v>303</v>
      </c>
      <c r="B125" s="186" t="s">
        <v>45</v>
      </c>
      <c r="C125" s="186" t="s">
        <v>46</v>
      </c>
      <c r="D125" s="187" t="s">
        <v>61</v>
      </c>
      <c r="E125" s="23" t="s">
        <v>304</v>
      </c>
      <c r="F125" s="209"/>
      <c r="G125" s="210"/>
      <c r="H125" s="211"/>
      <c r="I125" s="212">
        <v>2.6</v>
      </c>
      <c r="J125" s="81" t="s">
        <v>305</v>
      </c>
      <c r="K125" s="213">
        <f t="shared" ref="K125" si="19">G125*I125</f>
        <v>0</v>
      </c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  <c r="AA125" s="214"/>
      <c r="AB125" s="214"/>
      <c r="AC125" s="214"/>
      <c r="AD125" s="214"/>
      <c r="AE125" s="214"/>
      <c r="AF125" s="214"/>
      <c r="AG125" s="214"/>
      <c r="AH125" s="214"/>
      <c r="AI125" s="214"/>
      <c r="AJ125" s="214"/>
      <c r="AK125" s="214"/>
      <c r="AL125" s="214"/>
      <c r="AM125" s="214"/>
      <c r="AN125" s="214"/>
      <c r="AO125" s="214"/>
      <c r="AP125" s="214"/>
      <c r="AQ125" s="214"/>
      <c r="AR125" s="214"/>
      <c r="AS125" s="214"/>
      <c r="AT125" s="214"/>
      <c r="AU125" s="214"/>
      <c r="AV125" s="214"/>
      <c r="AW125" s="214"/>
      <c r="AX125" s="214"/>
      <c r="AY125" s="214"/>
      <c r="AZ125" s="214"/>
      <c r="BA125" s="214"/>
      <c r="BB125" s="214"/>
      <c r="BC125" s="214"/>
      <c r="BD125" s="214"/>
      <c r="BE125" s="214"/>
      <c r="BF125" s="214"/>
      <c r="BG125" s="214"/>
      <c r="BH125" s="214"/>
      <c r="BI125" s="214"/>
      <c r="BJ125" s="214"/>
      <c r="BK125" s="214"/>
      <c r="BL125" s="214"/>
      <c r="BM125" s="214"/>
      <c r="BN125" s="214"/>
      <c r="BO125" s="214"/>
      <c r="BP125" s="214"/>
      <c r="BQ125" s="214"/>
      <c r="BR125" s="214"/>
      <c r="BS125" s="214"/>
      <c r="BT125" s="214"/>
      <c r="BU125" s="214"/>
      <c r="BV125" s="214"/>
      <c r="BW125" s="214"/>
      <c r="BX125" s="214"/>
      <c r="BY125" s="214"/>
      <c r="BZ125" s="214"/>
      <c r="CA125" s="214"/>
    </row>
    <row r="126" spans="1:79" s="215" customFormat="1" ht="21" customHeight="1" x14ac:dyDescent="0.25">
      <c r="A126" s="117" t="s">
        <v>306</v>
      </c>
      <c r="B126" s="186" t="s">
        <v>45</v>
      </c>
      <c r="C126" s="186" t="s">
        <v>46</v>
      </c>
      <c r="D126" s="187" t="s">
        <v>1306</v>
      </c>
      <c r="E126" s="23" t="s">
        <v>1307</v>
      </c>
      <c r="F126" s="209"/>
      <c r="G126" s="210"/>
      <c r="H126" s="211"/>
      <c r="I126" s="212">
        <v>1.8</v>
      </c>
      <c r="J126" s="81" t="s">
        <v>307</v>
      </c>
      <c r="K126" s="213">
        <f t="shared" si="12"/>
        <v>0</v>
      </c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  <c r="AK126" s="214"/>
      <c r="AL126" s="214"/>
      <c r="AM126" s="214"/>
      <c r="AN126" s="214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214"/>
      <c r="AY126" s="214"/>
      <c r="AZ126" s="214"/>
      <c r="BA126" s="214"/>
      <c r="BB126" s="214"/>
      <c r="BC126" s="214"/>
      <c r="BD126" s="214"/>
      <c r="BE126" s="214"/>
      <c r="BF126" s="214"/>
      <c r="BG126" s="214"/>
      <c r="BH126" s="214"/>
      <c r="BI126" s="214"/>
      <c r="BJ126" s="214"/>
      <c r="BK126" s="214"/>
      <c r="BL126" s="214"/>
      <c r="BM126" s="214"/>
      <c r="BN126" s="214"/>
      <c r="BO126" s="214"/>
      <c r="BP126" s="214"/>
      <c r="BQ126" s="214"/>
      <c r="BR126" s="214"/>
      <c r="BS126" s="214"/>
      <c r="BT126" s="214"/>
      <c r="BU126" s="214"/>
      <c r="BV126" s="214"/>
      <c r="BW126" s="214"/>
      <c r="BX126" s="214"/>
      <c r="BY126" s="214"/>
      <c r="BZ126" s="214"/>
      <c r="CA126" s="214"/>
    </row>
    <row r="127" spans="1:79" s="215" customFormat="1" ht="21" customHeight="1" x14ac:dyDescent="0.25">
      <c r="A127" s="117" t="s">
        <v>308</v>
      </c>
      <c r="B127" s="186" t="s">
        <v>45</v>
      </c>
      <c r="C127" s="186" t="s">
        <v>46</v>
      </c>
      <c r="D127" s="187" t="s">
        <v>238</v>
      </c>
      <c r="E127" s="23" t="s">
        <v>309</v>
      </c>
      <c r="F127" s="209"/>
      <c r="G127" s="210"/>
      <c r="H127" s="211"/>
      <c r="I127" s="212">
        <v>1.5</v>
      </c>
      <c r="J127" s="81" t="s">
        <v>310</v>
      </c>
      <c r="K127" s="213">
        <f t="shared" si="12"/>
        <v>0</v>
      </c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  <c r="AA127" s="214"/>
      <c r="AB127" s="214"/>
      <c r="AC127" s="214"/>
      <c r="AD127" s="214"/>
      <c r="AE127" s="214"/>
      <c r="AF127" s="214"/>
      <c r="AG127" s="214"/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4"/>
      <c r="AW127" s="214"/>
      <c r="AX127" s="214"/>
      <c r="AY127" s="214"/>
      <c r="AZ127" s="214"/>
      <c r="BA127" s="214"/>
      <c r="BB127" s="214"/>
      <c r="BC127" s="214"/>
      <c r="BD127" s="214"/>
      <c r="BE127" s="214"/>
      <c r="BF127" s="214"/>
      <c r="BG127" s="214"/>
      <c r="BH127" s="214"/>
      <c r="BI127" s="214"/>
      <c r="BJ127" s="214"/>
      <c r="BK127" s="214"/>
      <c r="BL127" s="214"/>
      <c r="BM127" s="214"/>
      <c r="BN127" s="214"/>
      <c r="BO127" s="214"/>
      <c r="BP127" s="214"/>
      <c r="BQ127" s="214"/>
      <c r="BR127" s="214"/>
      <c r="BS127" s="214"/>
      <c r="BT127" s="214"/>
      <c r="BU127" s="214"/>
      <c r="BV127" s="214"/>
      <c r="BW127" s="214"/>
      <c r="BX127" s="214"/>
      <c r="BY127" s="214"/>
      <c r="BZ127" s="214"/>
      <c r="CA127" s="214"/>
    </row>
    <row r="128" spans="1:79" s="215" customFormat="1" ht="21" customHeight="1" x14ac:dyDescent="0.25">
      <c r="A128" s="117" t="s">
        <v>311</v>
      </c>
      <c r="B128" s="186" t="s">
        <v>241</v>
      </c>
      <c r="C128" s="186" t="s">
        <v>51</v>
      </c>
      <c r="D128" s="187" t="s">
        <v>312</v>
      </c>
      <c r="E128" s="23" t="s">
        <v>313</v>
      </c>
      <c r="F128" s="209"/>
      <c r="G128" s="210"/>
      <c r="H128" s="211"/>
      <c r="I128" s="212">
        <v>3.4</v>
      </c>
      <c r="J128" s="81"/>
      <c r="K128" s="213">
        <f t="shared" si="12"/>
        <v>0</v>
      </c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  <c r="AA128" s="214"/>
      <c r="AB128" s="214"/>
      <c r="AC128" s="214"/>
      <c r="AD128" s="214"/>
      <c r="AE128" s="214"/>
      <c r="AF128" s="214"/>
      <c r="AG128" s="214"/>
      <c r="AH128" s="214"/>
      <c r="AI128" s="214"/>
      <c r="AJ128" s="214"/>
      <c r="AK128" s="214"/>
      <c r="AL128" s="214"/>
      <c r="AM128" s="214"/>
      <c r="AN128" s="214"/>
      <c r="AO128" s="214"/>
      <c r="AP128" s="214"/>
      <c r="AQ128" s="214"/>
      <c r="AR128" s="214"/>
      <c r="AS128" s="214"/>
      <c r="AT128" s="214"/>
      <c r="AU128" s="214"/>
      <c r="AV128" s="214"/>
      <c r="AW128" s="214"/>
      <c r="AX128" s="214"/>
      <c r="AY128" s="214"/>
      <c r="AZ128" s="214"/>
      <c r="BA128" s="214"/>
      <c r="BB128" s="214"/>
      <c r="BC128" s="214"/>
      <c r="BD128" s="214"/>
      <c r="BE128" s="214"/>
      <c r="BF128" s="214"/>
      <c r="BG128" s="214"/>
      <c r="BH128" s="214"/>
      <c r="BI128" s="214"/>
      <c r="BJ128" s="214"/>
      <c r="BK128" s="214"/>
      <c r="BL128" s="214"/>
      <c r="BM128" s="214"/>
      <c r="BN128" s="214"/>
      <c r="BO128" s="214"/>
      <c r="BP128" s="214"/>
      <c r="BQ128" s="214"/>
      <c r="BR128" s="214"/>
      <c r="BS128" s="214"/>
      <c r="BT128" s="214"/>
      <c r="BU128" s="214"/>
      <c r="BV128" s="214"/>
      <c r="BW128" s="214"/>
      <c r="BX128" s="214"/>
      <c r="BY128" s="214"/>
      <c r="BZ128" s="214"/>
      <c r="CA128" s="214"/>
    </row>
    <row r="129" spans="1:79" s="215" customFormat="1" ht="21" customHeight="1" x14ac:dyDescent="0.25">
      <c r="A129" s="117" t="s">
        <v>314</v>
      </c>
      <c r="B129" s="186" t="s">
        <v>50</v>
      </c>
      <c r="C129" s="186" t="s">
        <v>51</v>
      </c>
      <c r="D129" s="187" t="s">
        <v>315</v>
      </c>
      <c r="E129" s="23" t="s">
        <v>316</v>
      </c>
      <c r="F129" s="209"/>
      <c r="G129" s="210"/>
      <c r="H129" s="211"/>
      <c r="I129" s="212">
        <v>3.6</v>
      </c>
      <c r="J129" s="81" t="s">
        <v>317</v>
      </c>
      <c r="K129" s="213">
        <f t="shared" si="12"/>
        <v>0</v>
      </c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  <c r="AA129" s="214"/>
      <c r="AB129" s="214"/>
      <c r="AC129" s="214"/>
      <c r="AD129" s="214"/>
      <c r="AE129" s="214"/>
      <c r="AF129" s="214"/>
      <c r="AG129" s="214"/>
      <c r="AH129" s="214"/>
      <c r="AI129" s="214"/>
      <c r="AJ129" s="214"/>
      <c r="AK129" s="214"/>
      <c r="AL129" s="214"/>
      <c r="AM129" s="214"/>
      <c r="AN129" s="214"/>
      <c r="AO129" s="214"/>
      <c r="AP129" s="214"/>
      <c r="AQ129" s="214"/>
      <c r="AR129" s="214"/>
      <c r="AS129" s="214"/>
      <c r="AT129" s="214"/>
      <c r="AU129" s="214"/>
      <c r="AV129" s="214"/>
      <c r="AW129" s="214"/>
      <c r="AX129" s="214"/>
      <c r="AY129" s="214"/>
      <c r="AZ129" s="214"/>
      <c r="BA129" s="214"/>
      <c r="BB129" s="214"/>
      <c r="BC129" s="214"/>
      <c r="BD129" s="214"/>
      <c r="BE129" s="214"/>
      <c r="BF129" s="214"/>
      <c r="BG129" s="214"/>
      <c r="BH129" s="214"/>
      <c r="BI129" s="214"/>
      <c r="BJ129" s="214"/>
      <c r="BK129" s="214"/>
      <c r="BL129" s="214"/>
      <c r="BM129" s="214"/>
      <c r="BN129" s="214"/>
      <c r="BO129" s="214"/>
      <c r="BP129" s="214"/>
      <c r="BQ129" s="214"/>
      <c r="BR129" s="214"/>
      <c r="BS129" s="214"/>
      <c r="BT129" s="214"/>
      <c r="BU129" s="214"/>
      <c r="BV129" s="214"/>
      <c r="BW129" s="214"/>
      <c r="BX129" s="214"/>
      <c r="BY129" s="214"/>
      <c r="BZ129" s="214"/>
      <c r="CA129" s="214"/>
    </row>
    <row r="130" spans="1:79" s="215" customFormat="1" ht="21" customHeight="1" x14ac:dyDescent="0.25">
      <c r="A130" s="117" t="s">
        <v>318</v>
      </c>
      <c r="B130" s="186" t="s">
        <v>50</v>
      </c>
      <c r="C130" s="186" t="s">
        <v>51</v>
      </c>
      <c r="D130" s="187" t="s">
        <v>54</v>
      </c>
      <c r="E130" s="23" t="s">
        <v>319</v>
      </c>
      <c r="F130" s="209"/>
      <c r="G130" s="210"/>
      <c r="H130" s="211"/>
      <c r="I130" s="212">
        <v>3.6</v>
      </c>
      <c r="J130" s="81" t="s">
        <v>317</v>
      </c>
      <c r="K130" s="213">
        <f t="shared" si="12"/>
        <v>0</v>
      </c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  <c r="AA130" s="214"/>
      <c r="AB130" s="214"/>
      <c r="AC130" s="214"/>
      <c r="AD130" s="214"/>
      <c r="AE130" s="214"/>
      <c r="AF130" s="214"/>
      <c r="AG130" s="214"/>
      <c r="AH130" s="214"/>
      <c r="AI130" s="214"/>
      <c r="AJ130" s="214"/>
      <c r="AK130" s="214"/>
      <c r="AL130" s="214"/>
      <c r="AM130" s="214"/>
      <c r="AN130" s="214"/>
      <c r="AO130" s="214"/>
      <c r="AP130" s="214"/>
      <c r="AQ130" s="214"/>
      <c r="AR130" s="214"/>
      <c r="AS130" s="214"/>
      <c r="AT130" s="214"/>
      <c r="AU130" s="214"/>
      <c r="AV130" s="214"/>
      <c r="AW130" s="214"/>
      <c r="AX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4"/>
      <c r="BI130" s="214"/>
      <c r="BJ130" s="214"/>
      <c r="BK130" s="214"/>
      <c r="BL130" s="214"/>
      <c r="BM130" s="214"/>
      <c r="BN130" s="214"/>
      <c r="BO130" s="214"/>
      <c r="BP130" s="214"/>
      <c r="BQ130" s="214"/>
      <c r="BR130" s="214"/>
      <c r="BS130" s="214"/>
      <c r="BT130" s="214"/>
      <c r="BU130" s="214"/>
      <c r="BV130" s="214"/>
      <c r="BW130" s="214"/>
      <c r="BX130" s="214"/>
      <c r="BY130" s="214"/>
      <c r="BZ130" s="214"/>
      <c r="CA130" s="214"/>
    </row>
    <row r="131" spans="1:79" s="215" customFormat="1" ht="21" customHeight="1" x14ac:dyDescent="0.25">
      <c r="A131" s="117" t="s">
        <v>1308</v>
      </c>
      <c r="B131" s="186" t="s">
        <v>187</v>
      </c>
      <c r="C131" s="186" t="s">
        <v>1309</v>
      </c>
      <c r="D131" s="187" t="s">
        <v>346</v>
      </c>
      <c r="E131" s="23" t="s">
        <v>1310</v>
      </c>
      <c r="F131" s="209"/>
      <c r="G131" s="210"/>
      <c r="H131" s="211"/>
      <c r="I131" s="212">
        <v>40</v>
      </c>
      <c r="J131" s="81"/>
      <c r="K131" s="213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  <c r="Y131" s="214"/>
      <c r="Z131" s="214"/>
      <c r="AA131" s="214"/>
      <c r="AB131" s="214"/>
      <c r="AC131" s="214"/>
      <c r="AD131" s="214"/>
      <c r="AE131" s="214"/>
      <c r="AF131" s="214"/>
      <c r="AG131" s="214"/>
      <c r="AH131" s="214"/>
      <c r="AI131" s="214"/>
      <c r="AJ131" s="214"/>
      <c r="AK131" s="214"/>
      <c r="AL131" s="214"/>
      <c r="AM131" s="214"/>
      <c r="AN131" s="214"/>
      <c r="AO131" s="214"/>
      <c r="AP131" s="214"/>
      <c r="AQ131" s="214"/>
      <c r="AR131" s="214"/>
      <c r="AS131" s="214"/>
      <c r="AT131" s="214"/>
      <c r="AU131" s="214"/>
      <c r="AV131" s="214"/>
      <c r="AW131" s="214"/>
      <c r="AX131" s="214"/>
      <c r="AY131" s="214"/>
      <c r="AZ131" s="214"/>
      <c r="BA131" s="214"/>
      <c r="BB131" s="214"/>
      <c r="BC131" s="214"/>
      <c r="BD131" s="214"/>
      <c r="BE131" s="214"/>
      <c r="BF131" s="214"/>
      <c r="BG131" s="214"/>
      <c r="BH131" s="214"/>
      <c r="BI131" s="214"/>
      <c r="BJ131" s="214"/>
      <c r="BK131" s="214"/>
      <c r="BL131" s="214"/>
      <c r="BM131" s="214"/>
      <c r="BN131" s="214"/>
      <c r="BO131" s="214"/>
      <c r="BP131" s="214"/>
      <c r="BQ131" s="214"/>
      <c r="BR131" s="214"/>
      <c r="BS131" s="214"/>
      <c r="BT131" s="214"/>
      <c r="BU131" s="214"/>
      <c r="BV131" s="214"/>
      <c r="BW131" s="214"/>
      <c r="BX131" s="214"/>
      <c r="BY131" s="214"/>
      <c r="BZ131" s="214"/>
      <c r="CA131" s="214"/>
    </row>
    <row r="132" spans="1:79" s="215" customFormat="1" ht="21" customHeight="1" x14ac:dyDescent="0.25">
      <c r="A132" s="117" t="s">
        <v>320</v>
      </c>
      <c r="B132" s="186" t="s">
        <v>28</v>
      </c>
      <c r="C132" s="186" t="s">
        <v>131</v>
      </c>
      <c r="D132" s="187" t="s">
        <v>321</v>
      </c>
      <c r="E132" s="23" t="s">
        <v>322</v>
      </c>
      <c r="F132" s="209"/>
      <c r="G132" s="210"/>
      <c r="H132" s="211"/>
      <c r="I132" s="212">
        <v>86</v>
      </c>
      <c r="J132" s="81"/>
      <c r="K132" s="213">
        <f t="shared" si="12"/>
        <v>0</v>
      </c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  <c r="Y132" s="214"/>
      <c r="Z132" s="214"/>
      <c r="AA132" s="214"/>
      <c r="AB132" s="214"/>
      <c r="AC132" s="214"/>
      <c r="AD132" s="214"/>
      <c r="AE132" s="214"/>
      <c r="AF132" s="214"/>
      <c r="AG132" s="214"/>
      <c r="AH132" s="214"/>
      <c r="AI132" s="214"/>
      <c r="AJ132" s="214"/>
      <c r="AK132" s="214"/>
      <c r="AL132" s="214"/>
      <c r="AM132" s="214"/>
      <c r="AN132" s="214"/>
      <c r="AO132" s="214"/>
      <c r="AP132" s="214"/>
      <c r="AQ132" s="214"/>
      <c r="AR132" s="214"/>
      <c r="AS132" s="214"/>
      <c r="AT132" s="214"/>
      <c r="AU132" s="214"/>
      <c r="AV132" s="214"/>
      <c r="AW132" s="214"/>
      <c r="AX132" s="214"/>
      <c r="AY132" s="214"/>
      <c r="AZ132" s="214"/>
      <c r="BA132" s="214"/>
      <c r="BB132" s="214"/>
      <c r="BC132" s="214"/>
      <c r="BD132" s="214"/>
      <c r="BE132" s="214"/>
      <c r="BF132" s="214"/>
      <c r="BG132" s="214"/>
      <c r="BH132" s="214"/>
      <c r="BI132" s="214"/>
      <c r="BJ132" s="214"/>
      <c r="BK132" s="214"/>
      <c r="BL132" s="214"/>
      <c r="BM132" s="214"/>
      <c r="BN132" s="214"/>
      <c r="BO132" s="214"/>
      <c r="BP132" s="214"/>
      <c r="BQ132" s="214"/>
      <c r="BR132" s="214"/>
      <c r="BS132" s="214"/>
      <c r="BT132" s="214"/>
      <c r="BU132" s="214"/>
      <c r="BV132" s="214"/>
      <c r="BW132" s="214"/>
      <c r="BX132" s="214"/>
      <c r="BY132" s="214"/>
      <c r="BZ132" s="214"/>
      <c r="CA132" s="214"/>
    </row>
    <row r="133" spans="1:79" s="215" customFormat="1" ht="21" customHeight="1" x14ac:dyDescent="0.25">
      <c r="A133" s="117" t="s">
        <v>320</v>
      </c>
      <c r="B133" s="186" t="s">
        <v>28</v>
      </c>
      <c r="C133" s="186" t="s">
        <v>131</v>
      </c>
      <c r="D133" s="187" t="s">
        <v>1311</v>
      </c>
      <c r="E133" s="23" t="s">
        <v>1312</v>
      </c>
      <c r="F133" s="209"/>
      <c r="G133" s="210"/>
      <c r="H133" s="211"/>
      <c r="I133" s="212">
        <v>74</v>
      </c>
      <c r="J133" s="81"/>
      <c r="K133" s="213">
        <f t="shared" si="12"/>
        <v>0</v>
      </c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  <c r="Y133" s="214"/>
      <c r="Z133" s="214"/>
      <c r="AA133" s="214"/>
      <c r="AB133" s="214"/>
      <c r="AC133" s="214"/>
      <c r="AD133" s="214"/>
      <c r="AE133" s="214"/>
      <c r="AF133" s="214"/>
      <c r="AG133" s="214"/>
      <c r="AH133" s="214"/>
      <c r="AI133" s="214"/>
      <c r="AJ133" s="214"/>
      <c r="AK133" s="214"/>
      <c r="AL133" s="214"/>
      <c r="AM133" s="214"/>
      <c r="AN133" s="214"/>
      <c r="AO133" s="214"/>
      <c r="AP133" s="214"/>
      <c r="AQ133" s="214"/>
      <c r="AR133" s="214"/>
      <c r="AS133" s="214"/>
      <c r="AT133" s="214"/>
      <c r="AU133" s="214"/>
      <c r="AV133" s="214"/>
      <c r="AW133" s="214"/>
      <c r="AX133" s="214"/>
      <c r="AY133" s="214"/>
      <c r="AZ133" s="214"/>
      <c r="BA133" s="214"/>
      <c r="BB133" s="214"/>
      <c r="BC133" s="214"/>
      <c r="BD133" s="214"/>
      <c r="BE133" s="214"/>
      <c r="BF133" s="214"/>
      <c r="BG133" s="214"/>
      <c r="BH133" s="214"/>
      <c r="BI133" s="214"/>
      <c r="BJ133" s="214"/>
      <c r="BK133" s="214"/>
      <c r="BL133" s="214"/>
      <c r="BM133" s="214"/>
      <c r="BN133" s="214"/>
      <c r="BO133" s="214"/>
      <c r="BP133" s="214"/>
      <c r="BQ133" s="214"/>
      <c r="BR133" s="214"/>
      <c r="BS133" s="214"/>
      <c r="BT133" s="214"/>
      <c r="BU133" s="214"/>
      <c r="BV133" s="214"/>
      <c r="BW133" s="214"/>
      <c r="BX133" s="214"/>
      <c r="BY133" s="214"/>
      <c r="BZ133" s="214"/>
      <c r="CA133" s="214"/>
    </row>
    <row r="134" spans="1:79" s="215" customFormat="1" ht="21" customHeight="1" x14ac:dyDescent="0.25">
      <c r="A134" s="117" t="s">
        <v>1313</v>
      </c>
      <c r="B134" s="186" t="s">
        <v>28</v>
      </c>
      <c r="C134" s="186" t="s">
        <v>131</v>
      </c>
      <c r="D134" s="187" t="s">
        <v>271</v>
      </c>
      <c r="E134" s="23" t="s">
        <v>1314</v>
      </c>
      <c r="F134" s="209"/>
      <c r="G134" s="210"/>
      <c r="H134" s="211"/>
      <c r="I134" s="212">
        <v>60</v>
      </c>
      <c r="J134" s="81"/>
      <c r="K134" s="213">
        <f>G134*I134</f>
        <v>0</v>
      </c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214"/>
      <c r="Y134" s="214"/>
      <c r="Z134" s="214"/>
      <c r="AA134" s="214"/>
      <c r="AB134" s="214"/>
      <c r="AC134" s="214"/>
      <c r="AD134" s="214"/>
      <c r="AE134" s="214"/>
      <c r="AF134" s="214"/>
      <c r="AG134" s="214"/>
      <c r="AH134" s="214"/>
      <c r="AI134" s="214"/>
      <c r="AJ134" s="214"/>
      <c r="AK134" s="214"/>
      <c r="AL134" s="214"/>
      <c r="AM134" s="214"/>
      <c r="AN134" s="214"/>
      <c r="AO134" s="214"/>
      <c r="AP134" s="214"/>
      <c r="AQ134" s="214"/>
      <c r="AR134" s="214"/>
      <c r="AS134" s="214"/>
      <c r="AT134" s="214"/>
      <c r="AU134" s="214"/>
      <c r="AV134" s="214"/>
      <c r="AW134" s="214"/>
      <c r="AX134" s="214"/>
      <c r="AY134" s="214"/>
      <c r="AZ134" s="214"/>
      <c r="BA134" s="214"/>
      <c r="BB134" s="214"/>
      <c r="BC134" s="214"/>
      <c r="BD134" s="214"/>
      <c r="BE134" s="214"/>
      <c r="BF134" s="214"/>
      <c r="BG134" s="214"/>
      <c r="BH134" s="214"/>
      <c r="BI134" s="214"/>
      <c r="BJ134" s="214"/>
      <c r="BK134" s="214"/>
      <c r="BL134" s="214"/>
      <c r="BM134" s="214"/>
      <c r="BN134" s="214"/>
      <c r="BO134" s="214"/>
      <c r="BP134" s="214"/>
      <c r="BQ134" s="214"/>
      <c r="BR134" s="214"/>
      <c r="BS134" s="214"/>
      <c r="BT134" s="214"/>
      <c r="BU134" s="214"/>
      <c r="BV134" s="214"/>
      <c r="BW134" s="214"/>
      <c r="BX134" s="214"/>
      <c r="BY134" s="214"/>
      <c r="BZ134" s="214"/>
      <c r="CA134" s="214"/>
    </row>
    <row r="135" spans="1:79" s="215" customFormat="1" ht="21" customHeight="1" x14ac:dyDescent="0.25">
      <c r="A135" s="117" t="s">
        <v>323</v>
      </c>
      <c r="B135" s="186" t="s">
        <v>28</v>
      </c>
      <c r="C135" s="186" t="s">
        <v>131</v>
      </c>
      <c r="D135" s="187" t="s">
        <v>271</v>
      </c>
      <c r="E135" s="23" t="s">
        <v>324</v>
      </c>
      <c r="F135" s="209"/>
      <c r="G135" s="210"/>
      <c r="H135" s="211"/>
      <c r="I135" s="212">
        <v>60</v>
      </c>
      <c r="J135" s="81"/>
      <c r="K135" s="213">
        <f t="shared" si="12"/>
        <v>0</v>
      </c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14"/>
      <c r="AP135" s="214"/>
      <c r="AQ135" s="214"/>
      <c r="AR135" s="214"/>
      <c r="AS135" s="214"/>
      <c r="AT135" s="214"/>
      <c r="AU135" s="214"/>
      <c r="AV135" s="214"/>
      <c r="AW135" s="214"/>
      <c r="AX135" s="214"/>
      <c r="AY135" s="214"/>
      <c r="AZ135" s="214"/>
      <c r="BA135" s="214"/>
      <c r="BB135" s="214"/>
      <c r="BC135" s="214"/>
      <c r="BD135" s="214"/>
      <c r="BE135" s="214"/>
      <c r="BF135" s="214"/>
      <c r="BG135" s="214"/>
      <c r="BH135" s="214"/>
      <c r="BI135" s="214"/>
      <c r="BJ135" s="214"/>
      <c r="BK135" s="214"/>
      <c r="BL135" s="214"/>
      <c r="BM135" s="214"/>
      <c r="BN135" s="214"/>
      <c r="BO135" s="214"/>
      <c r="BP135" s="214"/>
      <c r="BQ135" s="214"/>
      <c r="BR135" s="214"/>
      <c r="BS135" s="214"/>
      <c r="BT135" s="214"/>
      <c r="BU135" s="214"/>
      <c r="BV135" s="214"/>
      <c r="BW135" s="214"/>
      <c r="BX135" s="214"/>
      <c r="BY135" s="214"/>
      <c r="BZ135" s="214"/>
      <c r="CA135" s="214"/>
    </row>
    <row r="136" spans="1:79" s="215" customFormat="1" ht="21" customHeight="1" x14ac:dyDescent="0.25">
      <c r="A136" s="117" t="s">
        <v>325</v>
      </c>
      <c r="B136" s="186" t="s">
        <v>28</v>
      </c>
      <c r="C136" s="186" t="s">
        <v>131</v>
      </c>
      <c r="D136" s="187" t="s">
        <v>1315</v>
      </c>
      <c r="E136" s="23" t="s">
        <v>1316</v>
      </c>
      <c r="F136" s="209"/>
      <c r="G136" s="210"/>
      <c r="H136" s="211"/>
      <c r="I136" s="212">
        <v>87</v>
      </c>
      <c r="J136" s="81"/>
      <c r="K136" s="213">
        <f>G136*I136</f>
        <v>0</v>
      </c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  <c r="AA136" s="214"/>
      <c r="AB136" s="214"/>
      <c r="AC136" s="214"/>
      <c r="AD136" s="214"/>
      <c r="AE136" s="214"/>
      <c r="AF136" s="214"/>
      <c r="AG136" s="214"/>
      <c r="AH136" s="214"/>
      <c r="AI136" s="214"/>
      <c r="AJ136" s="214"/>
      <c r="AK136" s="214"/>
      <c r="AL136" s="214"/>
      <c r="AM136" s="214"/>
      <c r="AN136" s="214"/>
      <c r="AO136" s="214"/>
      <c r="AP136" s="214"/>
      <c r="AQ136" s="214"/>
      <c r="AR136" s="214"/>
      <c r="AS136" s="214"/>
      <c r="AT136" s="214"/>
      <c r="AU136" s="214"/>
      <c r="AV136" s="214"/>
      <c r="AW136" s="214"/>
      <c r="AX136" s="214"/>
      <c r="AY136" s="214"/>
      <c r="AZ136" s="214"/>
      <c r="BA136" s="214"/>
      <c r="BB136" s="214"/>
      <c r="BC136" s="214"/>
      <c r="BD136" s="214"/>
      <c r="BE136" s="214"/>
      <c r="BF136" s="214"/>
      <c r="BG136" s="214"/>
      <c r="BH136" s="214"/>
      <c r="BI136" s="214"/>
      <c r="BJ136" s="214"/>
      <c r="BK136" s="214"/>
      <c r="BL136" s="214"/>
      <c r="BM136" s="214"/>
      <c r="BN136" s="214"/>
      <c r="BO136" s="214"/>
      <c r="BP136" s="214"/>
      <c r="BQ136" s="214"/>
      <c r="BR136" s="214"/>
      <c r="BS136" s="214"/>
      <c r="BT136" s="214"/>
      <c r="BU136" s="214"/>
      <c r="BV136" s="214"/>
      <c r="BW136" s="214"/>
      <c r="BX136" s="214"/>
      <c r="BY136" s="214"/>
      <c r="BZ136" s="214"/>
      <c r="CA136" s="214"/>
    </row>
    <row r="137" spans="1:79" s="215" customFormat="1" ht="21" customHeight="1" x14ac:dyDescent="0.25">
      <c r="A137" s="117" t="s">
        <v>326</v>
      </c>
      <c r="B137" s="186" t="s">
        <v>241</v>
      </c>
      <c r="C137" s="186" t="s">
        <v>327</v>
      </c>
      <c r="D137" s="187" t="s">
        <v>293</v>
      </c>
      <c r="E137" s="23" t="s">
        <v>328</v>
      </c>
      <c r="F137" s="209"/>
      <c r="G137" s="210"/>
      <c r="H137" s="211"/>
      <c r="I137" s="212">
        <v>3.3</v>
      </c>
      <c r="J137" s="81" t="s">
        <v>25</v>
      </c>
      <c r="K137" s="213">
        <f t="shared" si="12"/>
        <v>0</v>
      </c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  <c r="AK137" s="214"/>
      <c r="AL137" s="214"/>
      <c r="AM137" s="214"/>
      <c r="AN137" s="214"/>
      <c r="AO137" s="214"/>
      <c r="AP137" s="214"/>
      <c r="AQ137" s="214"/>
      <c r="AR137" s="214"/>
      <c r="AS137" s="214"/>
      <c r="AT137" s="214"/>
      <c r="AU137" s="214"/>
      <c r="AV137" s="214"/>
      <c r="AW137" s="214"/>
      <c r="AX137" s="214"/>
      <c r="AY137" s="214"/>
      <c r="AZ137" s="214"/>
      <c r="BA137" s="214"/>
      <c r="BB137" s="214"/>
      <c r="BC137" s="214"/>
      <c r="BD137" s="214"/>
      <c r="BE137" s="214"/>
      <c r="BF137" s="214"/>
      <c r="BG137" s="214"/>
      <c r="BH137" s="214"/>
      <c r="BI137" s="214"/>
      <c r="BJ137" s="214"/>
      <c r="BK137" s="214"/>
      <c r="BL137" s="214"/>
      <c r="BM137" s="214"/>
      <c r="BN137" s="214"/>
      <c r="BO137" s="214"/>
      <c r="BP137" s="214"/>
      <c r="BQ137" s="214"/>
      <c r="BR137" s="214"/>
      <c r="BS137" s="214"/>
      <c r="BT137" s="214"/>
      <c r="BU137" s="214"/>
      <c r="BV137" s="214"/>
      <c r="BW137" s="214"/>
      <c r="BX137" s="214"/>
      <c r="BY137" s="214"/>
      <c r="BZ137" s="214"/>
      <c r="CA137" s="214"/>
    </row>
    <row r="138" spans="1:79" s="215" customFormat="1" ht="21" customHeight="1" x14ac:dyDescent="0.25">
      <c r="A138" s="117" t="s">
        <v>329</v>
      </c>
      <c r="B138" s="186" t="s">
        <v>28</v>
      </c>
      <c r="C138" s="186" t="s">
        <v>66</v>
      </c>
      <c r="D138" s="187" t="s">
        <v>330</v>
      </c>
      <c r="E138" s="23" t="s">
        <v>331</v>
      </c>
      <c r="F138" s="209"/>
      <c r="G138" s="210"/>
      <c r="H138" s="211"/>
      <c r="I138" s="212">
        <v>40</v>
      </c>
      <c r="J138" s="81"/>
      <c r="K138" s="213">
        <f t="shared" ref="K138" si="20">G138*I138</f>
        <v>0</v>
      </c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14"/>
      <c r="AQ138" s="214"/>
      <c r="AR138" s="214"/>
      <c r="AS138" s="214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4"/>
      <c r="BH138" s="214"/>
      <c r="BI138" s="214"/>
      <c r="BJ138" s="214"/>
      <c r="BK138" s="214"/>
      <c r="BL138" s="214"/>
      <c r="BM138" s="214"/>
      <c r="BN138" s="214"/>
      <c r="BO138" s="214"/>
      <c r="BP138" s="214"/>
      <c r="BQ138" s="214"/>
      <c r="BR138" s="214"/>
      <c r="BS138" s="214"/>
      <c r="BT138" s="214"/>
      <c r="BU138" s="214"/>
      <c r="BV138" s="214"/>
      <c r="BW138" s="214"/>
      <c r="BX138" s="214"/>
      <c r="BY138" s="214"/>
      <c r="BZ138" s="214"/>
      <c r="CA138" s="214"/>
    </row>
    <row r="139" spans="1:79" s="215" customFormat="1" ht="21" customHeight="1" x14ac:dyDescent="0.25">
      <c r="A139" s="117" t="s">
        <v>329</v>
      </c>
      <c r="B139" s="186" t="s">
        <v>28</v>
      </c>
      <c r="C139" s="186" t="s">
        <v>332</v>
      </c>
      <c r="D139" s="187" t="s">
        <v>333</v>
      </c>
      <c r="E139" s="23" t="s">
        <v>334</v>
      </c>
      <c r="F139" s="209"/>
      <c r="G139" s="210"/>
      <c r="H139" s="211"/>
      <c r="I139" s="212">
        <v>39</v>
      </c>
      <c r="J139" s="81"/>
      <c r="K139" s="213">
        <f t="shared" si="12"/>
        <v>0</v>
      </c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4"/>
      <c r="BI139" s="214"/>
      <c r="BJ139" s="214"/>
      <c r="BK139" s="214"/>
      <c r="BL139" s="214"/>
      <c r="BM139" s="214"/>
      <c r="BN139" s="214"/>
      <c r="BO139" s="214"/>
      <c r="BP139" s="214"/>
      <c r="BQ139" s="214"/>
      <c r="BR139" s="214"/>
      <c r="BS139" s="214"/>
      <c r="BT139" s="214"/>
      <c r="BU139" s="214"/>
      <c r="BV139" s="214"/>
      <c r="BW139" s="214"/>
      <c r="BX139" s="214"/>
      <c r="BY139" s="214"/>
      <c r="BZ139" s="214"/>
      <c r="CA139" s="214"/>
    </row>
    <row r="140" spans="1:79" s="215" customFormat="1" ht="21" customHeight="1" x14ac:dyDescent="0.25">
      <c r="A140" s="117" t="s">
        <v>335</v>
      </c>
      <c r="B140" s="186" t="s">
        <v>28</v>
      </c>
      <c r="C140" s="186" t="s">
        <v>105</v>
      </c>
      <c r="D140" s="187" t="s">
        <v>333</v>
      </c>
      <c r="E140" s="23" t="s">
        <v>336</v>
      </c>
      <c r="F140" s="209"/>
      <c r="G140" s="210"/>
      <c r="H140" s="211"/>
      <c r="I140" s="212">
        <v>47</v>
      </c>
      <c r="J140" s="81"/>
      <c r="K140" s="213">
        <f t="shared" si="12"/>
        <v>0</v>
      </c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  <c r="AK140" s="214"/>
      <c r="AL140" s="214"/>
      <c r="AM140" s="214"/>
      <c r="AN140" s="214"/>
      <c r="AO140" s="214"/>
      <c r="AP140" s="214"/>
      <c r="AQ140" s="214"/>
      <c r="AR140" s="214"/>
      <c r="AS140" s="214"/>
      <c r="AT140" s="214"/>
      <c r="AU140" s="214"/>
      <c r="AV140" s="214"/>
      <c r="AW140" s="214"/>
      <c r="AX140" s="214"/>
      <c r="AY140" s="214"/>
      <c r="AZ140" s="214"/>
      <c r="BA140" s="214"/>
      <c r="BB140" s="214"/>
      <c r="BC140" s="214"/>
      <c r="BD140" s="214"/>
      <c r="BE140" s="214"/>
      <c r="BF140" s="214"/>
      <c r="BG140" s="214"/>
      <c r="BH140" s="214"/>
      <c r="BI140" s="214"/>
      <c r="BJ140" s="214"/>
      <c r="BK140" s="214"/>
      <c r="BL140" s="214"/>
      <c r="BM140" s="214"/>
      <c r="BN140" s="214"/>
      <c r="BO140" s="214"/>
      <c r="BP140" s="214"/>
      <c r="BQ140" s="214"/>
      <c r="BR140" s="214"/>
      <c r="BS140" s="214"/>
      <c r="BT140" s="214"/>
      <c r="BU140" s="214"/>
      <c r="BV140" s="214"/>
      <c r="BW140" s="214"/>
      <c r="BX140" s="214"/>
      <c r="BY140" s="214"/>
      <c r="BZ140" s="214"/>
      <c r="CA140" s="214"/>
    </row>
    <row r="141" spans="1:79" s="215" customFormat="1" ht="21" customHeight="1" x14ac:dyDescent="0.25">
      <c r="A141" s="117" t="s">
        <v>337</v>
      </c>
      <c r="B141" s="186" t="s">
        <v>28</v>
      </c>
      <c r="C141" s="186" t="s">
        <v>66</v>
      </c>
      <c r="D141" s="187" t="s">
        <v>346</v>
      </c>
      <c r="E141" s="23" t="s">
        <v>1317</v>
      </c>
      <c r="F141" s="209"/>
      <c r="G141" s="210"/>
      <c r="H141" s="211"/>
      <c r="I141" s="212">
        <v>54</v>
      </c>
      <c r="J141" s="81"/>
      <c r="K141" s="213">
        <f t="shared" si="12"/>
        <v>0</v>
      </c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  <c r="AA141" s="214"/>
      <c r="AB141" s="214"/>
      <c r="AC141" s="214"/>
      <c r="AD141" s="214"/>
      <c r="AE141" s="214"/>
      <c r="AF141" s="214"/>
      <c r="AG141" s="214"/>
      <c r="AH141" s="214"/>
      <c r="AI141" s="214"/>
      <c r="AJ141" s="214"/>
      <c r="AK141" s="214"/>
      <c r="AL141" s="214"/>
      <c r="AM141" s="214"/>
      <c r="AN141" s="214"/>
      <c r="AO141" s="214"/>
      <c r="AP141" s="214"/>
      <c r="AQ141" s="214"/>
      <c r="AR141" s="214"/>
      <c r="AS141" s="214"/>
      <c r="AT141" s="214"/>
      <c r="AU141" s="214"/>
      <c r="AV141" s="214"/>
      <c r="AW141" s="214"/>
      <c r="AX141" s="214"/>
      <c r="AY141" s="214"/>
      <c r="AZ141" s="214"/>
      <c r="BA141" s="214"/>
      <c r="BB141" s="214"/>
      <c r="BC141" s="214"/>
      <c r="BD141" s="214"/>
      <c r="BE141" s="214"/>
      <c r="BF141" s="214"/>
      <c r="BG141" s="214"/>
      <c r="BH141" s="214"/>
      <c r="BI141" s="214"/>
      <c r="BJ141" s="214"/>
      <c r="BK141" s="214"/>
      <c r="BL141" s="214"/>
      <c r="BM141" s="214"/>
      <c r="BN141" s="214"/>
      <c r="BO141" s="214"/>
      <c r="BP141" s="214"/>
      <c r="BQ141" s="214"/>
      <c r="BR141" s="214"/>
      <c r="BS141" s="214"/>
      <c r="BT141" s="214"/>
      <c r="BU141" s="214"/>
      <c r="BV141" s="214"/>
      <c r="BW141" s="214"/>
      <c r="BX141" s="214"/>
      <c r="BY141" s="214"/>
      <c r="BZ141" s="214"/>
      <c r="CA141" s="214"/>
    </row>
    <row r="142" spans="1:79" s="215" customFormat="1" ht="21" customHeight="1" x14ac:dyDescent="0.25">
      <c r="A142" s="117" t="s">
        <v>338</v>
      </c>
      <c r="B142" s="186" t="s">
        <v>45</v>
      </c>
      <c r="C142" s="186" t="s">
        <v>46</v>
      </c>
      <c r="D142" s="187" t="s">
        <v>339</v>
      </c>
      <c r="E142" s="23" t="s">
        <v>340</v>
      </c>
      <c r="F142" s="209"/>
      <c r="G142" s="210"/>
      <c r="H142" s="211"/>
      <c r="I142" s="212">
        <v>23</v>
      </c>
      <c r="J142" s="81" t="s">
        <v>25</v>
      </c>
      <c r="K142" s="213">
        <f t="shared" si="12"/>
        <v>0</v>
      </c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4"/>
      <c r="AH142" s="214"/>
      <c r="AI142" s="214"/>
      <c r="AJ142" s="214"/>
      <c r="AK142" s="214"/>
      <c r="AL142" s="214"/>
      <c r="AM142" s="214"/>
      <c r="AN142" s="214"/>
      <c r="AO142" s="214"/>
      <c r="AP142" s="214"/>
      <c r="AQ142" s="214"/>
      <c r="AR142" s="214"/>
      <c r="AS142" s="214"/>
      <c r="AT142" s="214"/>
      <c r="AU142" s="214"/>
      <c r="AV142" s="214"/>
      <c r="AW142" s="214"/>
      <c r="AX142" s="214"/>
      <c r="AY142" s="214"/>
      <c r="AZ142" s="214"/>
      <c r="BA142" s="214"/>
      <c r="BB142" s="214"/>
      <c r="BC142" s="214"/>
      <c r="BD142" s="214"/>
      <c r="BE142" s="214"/>
      <c r="BF142" s="214"/>
      <c r="BG142" s="214"/>
      <c r="BH142" s="214"/>
      <c r="BI142" s="214"/>
      <c r="BJ142" s="214"/>
      <c r="BK142" s="214"/>
      <c r="BL142" s="214"/>
      <c r="BM142" s="214"/>
      <c r="BN142" s="214"/>
      <c r="BO142" s="214"/>
      <c r="BP142" s="214"/>
      <c r="BQ142" s="214"/>
      <c r="BR142" s="214"/>
      <c r="BS142" s="214"/>
      <c r="BT142" s="214"/>
      <c r="BU142" s="214"/>
      <c r="BV142" s="214"/>
      <c r="BW142" s="214"/>
      <c r="BX142" s="214"/>
      <c r="BY142" s="214"/>
      <c r="BZ142" s="214"/>
      <c r="CA142" s="214"/>
    </row>
    <row r="143" spans="1:79" s="215" customFormat="1" ht="21" customHeight="1" x14ac:dyDescent="0.25">
      <c r="A143" s="117" t="s">
        <v>341</v>
      </c>
      <c r="B143" s="186" t="s">
        <v>28</v>
      </c>
      <c r="C143" s="186" t="s">
        <v>66</v>
      </c>
      <c r="D143" s="187" t="s">
        <v>342</v>
      </c>
      <c r="E143" s="23" t="s">
        <v>343</v>
      </c>
      <c r="F143" s="209"/>
      <c r="G143" s="210"/>
      <c r="H143" s="211"/>
      <c r="I143" s="212">
        <v>49</v>
      </c>
      <c r="J143" s="81" t="s">
        <v>344</v>
      </c>
      <c r="K143" s="213">
        <f t="shared" ref="K143:K144" si="21">G143*I143</f>
        <v>0</v>
      </c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  <c r="AA143" s="214"/>
      <c r="AB143" s="214"/>
      <c r="AC143" s="214"/>
      <c r="AD143" s="214"/>
      <c r="AE143" s="214"/>
      <c r="AF143" s="214"/>
      <c r="AG143" s="214"/>
      <c r="AH143" s="214"/>
      <c r="AI143" s="214"/>
      <c r="AJ143" s="214"/>
      <c r="AK143" s="214"/>
      <c r="AL143" s="214"/>
      <c r="AM143" s="214"/>
      <c r="AN143" s="214"/>
      <c r="AO143" s="214"/>
      <c r="AP143" s="214"/>
      <c r="AQ143" s="214"/>
      <c r="AR143" s="214"/>
      <c r="AS143" s="214"/>
      <c r="AT143" s="214"/>
      <c r="AU143" s="214"/>
      <c r="AV143" s="214"/>
      <c r="AW143" s="214"/>
      <c r="AX143" s="214"/>
      <c r="AY143" s="214"/>
      <c r="AZ143" s="214"/>
      <c r="BA143" s="214"/>
      <c r="BB143" s="214"/>
      <c r="BC143" s="214"/>
      <c r="BD143" s="214"/>
      <c r="BE143" s="214"/>
      <c r="BF143" s="214"/>
      <c r="BG143" s="214"/>
      <c r="BH143" s="214"/>
      <c r="BI143" s="214"/>
      <c r="BJ143" s="214"/>
      <c r="BK143" s="214"/>
      <c r="BL143" s="214"/>
      <c r="BM143" s="214"/>
      <c r="BN143" s="214"/>
      <c r="BO143" s="214"/>
      <c r="BP143" s="214"/>
      <c r="BQ143" s="214"/>
      <c r="BR143" s="214"/>
      <c r="BS143" s="214"/>
      <c r="BT143" s="214"/>
      <c r="BU143" s="214"/>
      <c r="BV143" s="214"/>
      <c r="BW143" s="214"/>
      <c r="BX143" s="214"/>
      <c r="BY143" s="214"/>
      <c r="BZ143" s="214"/>
      <c r="CA143" s="214"/>
    </row>
    <row r="144" spans="1:79" s="215" customFormat="1" ht="21" customHeight="1" x14ac:dyDescent="0.25">
      <c r="A144" s="117" t="s">
        <v>345</v>
      </c>
      <c r="B144" s="186" t="s">
        <v>28</v>
      </c>
      <c r="C144" s="186" t="s">
        <v>105</v>
      </c>
      <c r="D144" s="187" t="s">
        <v>346</v>
      </c>
      <c r="E144" s="23" t="s">
        <v>347</v>
      </c>
      <c r="F144" s="209"/>
      <c r="G144" s="210"/>
      <c r="H144" s="211"/>
      <c r="I144" s="212">
        <v>47</v>
      </c>
      <c r="J144" s="81"/>
      <c r="K144" s="213">
        <f t="shared" si="21"/>
        <v>0</v>
      </c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  <c r="AA144" s="214"/>
      <c r="AB144" s="214"/>
      <c r="AC144" s="214"/>
      <c r="AD144" s="214"/>
      <c r="AE144" s="214"/>
      <c r="AF144" s="214"/>
      <c r="AG144" s="214"/>
      <c r="AH144" s="214"/>
      <c r="AI144" s="214"/>
      <c r="AJ144" s="214"/>
      <c r="AK144" s="214"/>
      <c r="AL144" s="214"/>
      <c r="AM144" s="214"/>
      <c r="AN144" s="214"/>
      <c r="AO144" s="214"/>
      <c r="AP144" s="214"/>
      <c r="AQ144" s="214"/>
      <c r="AR144" s="214"/>
      <c r="AS144" s="214"/>
      <c r="AT144" s="214"/>
      <c r="AU144" s="214"/>
      <c r="AV144" s="214"/>
      <c r="AW144" s="214"/>
      <c r="AX144" s="214"/>
      <c r="AY144" s="214"/>
      <c r="AZ144" s="214"/>
      <c r="BA144" s="214"/>
      <c r="BB144" s="214"/>
      <c r="BC144" s="214"/>
      <c r="BD144" s="214"/>
      <c r="BE144" s="214"/>
      <c r="BF144" s="214"/>
      <c r="BG144" s="214"/>
      <c r="BH144" s="214"/>
      <c r="BI144" s="214"/>
      <c r="BJ144" s="214"/>
      <c r="BK144" s="214"/>
      <c r="BL144" s="214"/>
      <c r="BM144" s="214"/>
      <c r="BN144" s="214"/>
      <c r="BO144" s="214"/>
      <c r="BP144" s="214"/>
      <c r="BQ144" s="214"/>
      <c r="BR144" s="214"/>
      <c r="BS144" s="214"/>
      <c r="BT144" s="214"/>
      <c r="BU144" s="214"/>
      <c r="BV144" s="214"/>
      <c r="BW144" s="214"/>
      <c r="BX144" s="214"/>
      <c r="BY144" s="214"/>
      <c r="BZ144" s="214"/>
      <c r="CA144" s="214"/>
    </row>
    <row r="145" spans="1:79" s="5" customFormat="1" ht="18.95" customHeight="1" x14ac:dyDescent="0.25">
      <c r="A145" s="41"/>
      <c r="B145" s="191"/>
      <c r="C145" s="191"/>
      <c r="D145" s="192"/>
      <c r="E145" s="19" t="s">
        <v>348</v>
      </c>
      <c r="F145" s="142"/>
      <c r="G145" s="70"/>
      <c r="H145" s="16"/>
      <c r="I145" s="42"/>
      <c r="J145" s="97"/>
      <c r="K145" s="72">
        <f t="shared" ref="K145:K149" si="22">G145*I145</f>
        <v>0</v>
      </c>
      <c r="L145" s="4"/>
    </row>
    <row r="146" spans="1:79" s="2" customFormat="1" ht="23.25" customHeight="1" x14ac:dyDescent="0.15">
      <c r="A146" s="24" t="s">
        <v>16</v>
      </c>
      <c r="B146" s="193" t="s">
        <v>17</v>
      </c>
      <c r="C146" s="193"/>
      <c r="D146" s="194" t="s">
        <v>18</v>
      </c>
      <c r="E146" s="38" t="s">
        <v>19</v>
      </c>
      <c r="F146" s="102" t="s">
        <v>20</v>
      </c>
      <c r="G146" s="38" t="s">
        <v>21</v>
      </c>
      <c r="H146" s="24" t="s">
        <v>22</v>
      </c>
      <c r="I146" s="105" t="s">
        <v>23</v>
      </c>
      <c r="J146" s="101" t="s">
        <v>349</v>
      </c>
      <c r="K146" s="72" t="s">
        <v>2</v>
      </c>
    </row>
    <row r="147" spans="1:79" s="215" customFormat="1" ht="21" customHeight="1" x14ac:dyDescent="0.25">
      <c r="A147" s="117" t="s">
        <v>350</v>
      </c>
      <c r="B147" s="186" t="s">
        <v>28</v>
      </c>
      <c r="C147" s="186" t="s">
        <v>131</v>
      </c>
      <c r="D147" s="187" t="s">
        <v>351</v>
      </c>
      <c r="E147" s="23" t="s">
        <v>352</v>
      </c>
      <c r="F147" s="209"/>
      <c r="G147" s="210"/>
      <c r="H147" s="211"/>
      <c r="I147" s="212">
        <v>93</v>
      </c>
      <c r="J147" s="81"/>
      <c r="K147" s="213">
        <f t="shared" ref="K147" si="23">G147*I147</f>
        <v>0</v>
      </c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  <c r="X147" s="214"/>
      <c r="Y147" s="214"/>
      <c r="Z147" s="214"/>
      <c r="AA147" s="214"/>
      <c r="AB147" s="214"/>
      <c r="AC147" s="214"/>
      <c r="AD147" s="214"/>
      <c r="AE147" s="214"/>
      <c r="AF147" s="214"/>
      <c r="AG147" s="214"/>
      <c r="AH147" s="214"/>
      <c r="AI147" s="214"/>
      <c r="AJ147" s="214"/>
      <c r="AK147" s="214"/>
      <c r="AL147" s="214"/>
      <c r="AM147" s="214"/>
      <c r="AN147" s="214"/>
      <c r="AO147" s="214"/>
      <c r="AP147" s="214"/>
      <c r="AQ147" s="214"/>
      <c r="AR147" s="214"/>
      <c r="AS147" s="214"/>
      <c r="AT147" s="214"/>
      <c r="AU147" s="214"/>
      <c r="AV147" s="214"/>
      <c r="AW147" s="214"/>
      <c r="AX147" s="214"/>
      <c r="AY147" s="214"/>
      <c r="AZ147" s="214"/>
      <c r="BA147" s="214"/>
      <c r="BB147" s="214"/>
      <c r="BC147" s="214"/>
      <c r="BD147" s="214"/>
      <c r="BE147" s="214"/>
      <c r="BF147" s="214"/>
      <c r="BG147" s="214"/>
      <c r="BH147" s="214"/>
      <c r="BI147" s="214"/>
      <c r="BJ147" s="214"/>
      <c r="BK147" s="214"/>
      <c r="BL147" s="214"/>
      <c r="BM147" s="214"/>
      <c r="BN147" s="214"/>
      <c r="BO147" s="214"/>
      <c r="BP147" s="214"/>
      <c r="BQ147" s="214"/>
      <c r="BR147" s="214"/>
      <c r="BS147" s="214"/>
      <c r="BT147" s="214"/>
      <c r="BU147" s="214"/>
      <c r="BV147" s="214"/>
      <c r="BW147" s="214"/>
      <c r="BX147" s="214"/>
      <c r="BY147" s="214"/>
      <c r="BZ147" s="214"/>
      <c r="CA147" s="214"/>
    </row>
    <row r="148" spans="1:79" s="215" customFormat="1" ht="21" customHeight="1" x14ac:dyDescent="0.25">
      <c r="A148" s="117" t="s">
        <v>353</v>
      </c>
      <c r="B148" s="186" t="s">
        <v>28</v>
      </c>
      <c r="C148" s="186" t="s">
        <v>354</v>
      </c>
      <c r="D148" s="187" t="s">
        <v>355</v>
      </c>
      <c r="E148" s="23" t="s">
        <v>356</v>
      </c>
      <c r="F148" s="209"/>
      <c r="G148" s="210"/>
      <c r="H148" s="211"/>
      <c r="I148" s="212">
        <v>86</v>
      </c>
      <c r="J148" s="81"/>
      <c r="K148" s="213">
        <f t="shared" si="22"/>
        <v>0</v>
      </c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  <c r="X148" s="214"/>
      <c r="Y148" s="214"/>
      <c r="Z148" s="214"/>
      <c r="AA148" s="214"/>
      <c r="AB148" s="214"/>
      <c r="AC148" s="214"/>
      <c r="AD148" s="214"/>
      <c r="AE148" s="214"/>
      <c r="AF148" s="214"/>
      <c r="AG148" s="214"/>
      <c r="AH148" s="214"/>
      <c r="AI148" s="214"/>
      <c r="AJ148" s="214"/>
      <c r="AK148" s="214"/>
      <c r="AL148" s="214"/>
      <c r="AM148" s="214"/>
      <c r="AN148" s="214"/>
      <c r="AO148" s="214"/>
      <c r="AP148" s="214"/>
      <c r="AQ148" s="214"/>
      <c r="AR148" s="214"/>
      <c r="AS148" s="214"/>
      <c r="AT148" s="214"/>
      <c r="AU148" s="214"/>
      <c r="AV148" s="214"/>
      <c r="AW148" s="214"/>
      <c r="AX148" s="214"/>
      <c r="AY148" s="214"/>
      <c r="AZ148" s="214"/>
      <c r="BA148" s="214"/>
      <c r="BB148" s="214"/>
      <c r="BC148" s="214"/>
      <c r="BD148" s="214"/>
      <c r="BE148" s="214"/>
      <c r="BF148" s="214"/>
      <c r="BG148" s="214"/>
      <c r="BH148" s="214"/>
      <c r="BI148" s="214"/>
      <c r="BJ148" s="214"/>
      <c r="BK148" s="214"/>
      <c r="BL148" s="214"/>
      <c r="BM148" s="214"/>
      <c r="BN148" s="214"/>
      <c r="BO148" s="214"/>
      <c r="BP148" s="214"/>
      <c r="BQ148" s="214"/>
      <c r="BR148" s="214"/>
      <c r="BS148" s="214"/>
      <c r="BT148" s="214"/>
      <c r="BU148" s="214"/>
      <c r="BV148" s="214"/>
      <c r="BW148" s="214"/>
      <c r="BX148" s="214"/>
      <c r="BY148" s="214"/>
      <c r="BZ148" s="214"/>
      <c r="CA148" s="214"/>
    </row>
    <row r="149" spans="1:79" s="215" customFormat="1" ht="21" customHeight="1" x14ac:dyDescent="0.25">
      <c r="A149" s="117" t="s">
        <v>359</v>
      </c>
      <c r="B149" s="186" t="s">
        <v>28</v>
      </c>
      <c r="C149" s="186" t="s">
        <v>354</v>
      </c>
      <c r="D149" s="187" t="s">
        <v>355</v>
      </c>
      <c r="E149" s="23" t="s">
        <v>360</v>
      </c>
      <c r="F149" s="209"/>
      <c r="G149" s="210"/>
      <c r="H149" s="211"/>
      <c r="I149" s="212">
        <v>82</v>
      </c>
      <c r="J149" s="81"/>
      <c r="K149" s="213">
        <f t="shared" si="22"/>
        <v>0</v>
      </c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  <c r="X149" s="214"/>
      <c r="Y149" s="214"/>
      <c r="Z149" s="214"/>
      <c r="AA149" s="214"/>
      <c r="AB149" s="214"/>
      <c r="AC149" s="214"/>
      <c r="AD149" s="214"/>
      <c r="AE149" s="214"/>
      <c r="AF149" s="214"/>
      <c r="AG149" s="214"/>
      <c r="AH149" s="214"/>
      <c r="AI149" s="214"/>
      <c r="AJ149" s="214"/>
      <c r="AK149" s="214"/>
      <c r="AL149" s="214"/>
      <c r="AM149" s="214"/>
      <c r="AN149" s="214"/>
      <c r="AO149" s="214"/>
      <c r="AP149" s="214"/>
      <c r="AQ149" s="214"/>
      <c r="AR149" s="214"/>
      <c r="AS149" s="214"/>
      <c r="AT149" s="214"/>
      <c r="AU149" s="214"/>
      <c r="AV149" s="214"/>
      <c r="AW149" s="214"/>
      <c r="AX149" s="214"/>
      <c r="AY149" s="214"/>
      <c r="AZ149" s="214"/>
      <c r="BA149" s="214"/>
      <c r="BB149" s="214"/>
      <c r="BC149" s="214"/>
      <c r="BD149" s="214"/>
      <c r="BE149" s="214"/>
      <c r="BF149" s="214"/>
      <c r="BG149" s="214"/>
      <c r="BH149" s="214"/>
      <c r="BI149" s="214"/>
      <c r="BJ149" s="214"/>
      <c r="BK149" s="214"/>
      <c r="BL149" s="214"/>
      <c r="BM149" s="214"/>
      <c r="BN149" s="214"/>
      <c r="BO149" s="214"/>
      <c r="BP149" s="214"/>
      <c r="BQ149" s="214"/>
      <c r="BR149" s="214"/>
      <c r="BS149" s="214"/>
      <c r="BT149" s="214"/>
      <c r="BU149" s="214"/>
      <c r="BV149" s="214"/>
      <c r="BW149" s="214"/>
      <c r="BX149" s="214"/>
      <c r="BY149" s="214"/>
      <c r="BZ149" s="214"/>
      <c r="CA149" s="214"/>
    </row>
    <row r="150" spans="1:79" s="215" customFormat="1" ht="21" customHeight="1" x14ac:dyDescent="0.25">
      <c r="A150" s="117" t="s">
        <v>357</v>
      </c>
      <c r="B150" s="186" t="s">
        <v>28</v>
      </c>
      <c r="C150" s="186" t="s">
        <v>382</v>
      </c>
      <c r="D150" s="187" t="s">
        <v>355</v>
      </c>
      <c r="E150" s="23" t="s">
        <v>358</v>
      </c>
      <c r="F150" s="209"/>
      <c r="G150" s="210"/>
      <c r="H150" s="211"/>
      <c r="I150" s="212">
        <v>56</v>
      </c>
      <c r="J150" s="81"/>
      <c r="K150" s="213">
        <f>G150*I150</f>
        <v>0</v>
      </c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  <c r="X150" s="214"/>
      <c r="Y150" s="214"/>
      <c r="Z150" s="214"/>
      <c r="AA150" s="214"/>
      <c r="AB150" s="214"/>
      <c r="AC150" s="214"/>
      <c r="AD150" s="214"/>
      <c r="AE150" s="214"/>
      <c r="AF150" s="214"/>
      <c r="AG150" s="214"/>
      <c r="AH150" s="214"/>
      <c r="AI150" s="214"/>
      <c r="AJ150" s="214"/>
      <c r="AK150" s="214"/>
      <c r="AL150" s="214"/>
      <c r="AM150" s="214"/>
      <c r="AN150" s="214"/>
      <c r="AO150" s="214"/>
      <c r="AP150" s="214"/>
      <c r="AQ150" s="214"/>
      <c r="AR150" s="214"/>
      <c r="AS150" s="214"/>
      <c r="AT150" s="214"/>
      <c r="AU150" s="214"/>
      <c r="AV150" s="214"/>
      <c r="AW150" s="214"/>
      <c r="AX150" s="214"/>
      <c r="AY150" s="214"/>
      <c r="AZ150" s="214"/>
      <c r="BA150" s="214"/>
      <c r="BB150" s="214"/>
      <c r="BC150" s="214"/>
      <c r="BD150" s="214"/>
      <c r="BE150" s="214"/>
      <c r="BF150" s="214"/>
      <c r="BG150" s="214"/>
      <c r="BH150" s="214"/>
      <c r="BI150" s="214"/>
      <c r="BJ150" s="214"/>
      <c r="BK150" s="214"/>
      <c r="BL150" s="214"/>
      <c r="BM150" s="214"/>
      <c r="BN150" s="214"/>
      <c r="BO150" s="214"/>
      <c r="BP150" s="214"/>
      <c r="BQ150" s="214"/>
      <c r="BR150" s="214"/>
      <c r="BS150" s="214"/>
      <c r="BT150" s="214"/>
      <c r="BU150" s="214"/>
      <c r="BV150" s="214"/>
      <c r="BW150" s="214"/>
      <c r="BX150" s="214"/>
      <c r="BY150" s="214"/>
      <c r="BZ150" s="214"/>
      <c r="CA150" s="214"/>
    </row>
    <row r="151" spans="1:79" s="215" customFormat="1" ht="21" customHeight="1" x14ac:dyDescent="0.25">
      <c r="A151" s="117" t="s">
        <v>361</v>
      </c>
      <c r="B151" s="186" t="s">
        <v>28</v>
      </c>
      <c r="C151" s="186" t="s">
        <v>332</v>
      </c>
      <c r="D151" s="187" t="s">
        <v>355</v>
      </c>
      <c r="E151" s="23" t="s">
        <v>362</v>
      </c>
      <c r="F151" s="209"/>
      <c r="G151" s="210"/>
      <c r="H151" s="211"/>
      <c r="I151" s="212">
        <v>58</v>
      </c>
      <c r="J151" s="81"/>
      <c r="K151" s="213">
        <f t="shared" ref="K151:K204" si="24">G151*I151</f>
        <v>0</v>
      </c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  <c r="X151" s="214"/>
      <c r="Y151" s="214"/>
      <c r="Z151" s="214"/>
      <c r="AA151" s="214"/>
      <c r="AB151" s="214"/>
      <c r="AC151" s="214"/>
      <c r="AD151" s="214"/>
      <c r="AE151" s="214"/>
      <c r="AF151" s="214"/>
      <c r="AG151" s="214"/>
      <c r="AH151" s="214"/>
      <c r="AI151" s="214"/>
      <c r="AJ151" s="214"/>
      <c r="AK151" s="214"/>
      <c r="AL151" s="214"/>
      <c r="AM151" s="214"/>
      <c r="AN151" s="214"/>
      <c r="AO151" s="214"/>
      <c r="AP151" s="214"/>
      <c r="AQ151" s="214"/>
      <c r="AR151" s="214"/>
      <c r="AS151" s="214"/>
      <c r="AT151" s="214"/>
      <c r="AU151" s="214"/>
      <c r="AV151" s="214"/>
      <c r="AW151" s="214"/>
      <c r="AX151" s="214"/>
      <c r="AY151" s="214"/>
      <c r="AZ151" s="214"/>
      <c r="BA151" s="214"/>
      <c r="BB151" s="214"/>
      <c r="BC151" s="214"/>
      <c r="BD151" s="214"/>
      <c r="BE151" s="214"/>
      <c r="BF151" s="214"/>
      <c r="BG151" s="214"/>
      <c r="BH151" s="214"/>
      <c r="BI151" s="214"/>
      <c r="BJ151" s="214"/>
      <c r="BK151" s="214"/>
      <c r="BL151" s="214"/>
      <c r="BM151" s="214"/>
      <c r="BN151" s="214"/>
      <c r="BO151" s="214"/>
      <c r="BP151" s="214"/>
      <c r="BQ151" s="214"/>
      <c r="BR151" s="214"/>
      <c r="BS151" s="214"/>
      <c r="BT151" s="214"/>
      <c r="BU151" s="214"/>
      <c r="BV151" s="214"/>
      <c r="BW151" s="214"/>
      <c r="BX151" s="214"/>
      <c r="BY151" s="214"/>
      <c r="BZ151" s="214"/>
      <c r="CA151" s="214"/>
    </row>
    <row r="152" spans="1:79" s="215" customFormat="1" ht="21" customHeight="1" x14ac:dyDescent="0.25">
      <c r="A152" s="117" t="s">
        <v>363</v>
      </c>
      <c r="B152" s="186" t="s">
        <v>28</v>
      </c>
      <c r="C152" s="186" t="s">
        <v>354</v>
      </c>
      <c r="D152" s="187" t="s">
        <v>355</v>
      </c>
      <c r="E152" s="23" t="s">
        <v>364</v>
      </c>
      <c r="F152" s="209"/>
      <c r="G152" s="210"/>
      <c r="H152" s="211"/>
      <c r="I152" s="212">
        <v>85</v>
      </c>
      <c r="J152" s="81"/>
      <c r="K152" s="213">
        <f t="shared" si="24"/>
        <v>0</v>
      </c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  <c r="X152" s="214"/>
      <c r="Y152" s="214"/>
      <c r="Z152" s="214"/>
      <c r="AA152" s="214"/>
      <c r="AB152" s="214"/>
      <c r="AC152" s="214"/>
      <c r="AD152" s="214"/>
      <c r="AE152" s="214"/>
      <c r="AF152" s="214"/>
      <c r="AG152" s="214"/>
      <c r="AH152" s="214"/>
      <c r="AI152" s="214"/>
      <c r="AJ152" s="214"/>
      <c r="AK152" s="214"/>
      <c r="AL152" s="214"/>
      <c r="AM152" s="214"/>
      <c r="AN152" s="214"/>
      <c r="AO152" s="214"/>
      <c r="AP152" s="214"/>
      <c r="AQ152" s="214"/>
      <c r="AR152" s="214"/>
      <c r="AS152" s="214"/>
      <c r="AT152" s="214"/>
      <c r="AU152" s="214"/>
      <c r="AV152" s="214"/>
      <c r="AW152" s="214"/>
      <c r="AX152" s="214"/>
      <c r="AY152" s="214"/>
      <c r="AZ152" s="214"/>
      <c r="BA152" s="214"/>
      <c r="BB152" s="214"/>
      <c r="BC152" s="214"/>
      <c r="BD152" s="214"/>
      <c r="BE152" s="214"/>
      <c r="BF152" s="214"/>
      <c r="BG152" s="214"/>
      <c r="BH152" s="214"/>
      <c r="BI152" s="214"/>
      <c r="BJ152" s="214"/>
      <c r="BK152" s="214"/>
      <c r="BL152" s="214"/>
      <c r="BM152" s="214"/>
      <c r="BN152" s="214"/>
      <c r="BO152" s="214"/>
      <c r="BP152" s="214"/>
      <c r="BQ152" s="214"/>
      <c r="BR152" s="214"/>
      <c r="BS152" s="214"/>
      <c r="BT152" s="214"/>
      <c r="BU152" s="214"/>
      <c r="BV152" s="214"/>
      <c r="BW152" s="214"/>
      <c r="BX152" s="214"/>
      <c r="BY152" s="214"/>
      <c r="BZ152" s="214"/>
      <c r="CA152" s="214"/>
    </row>
    <row r="153" spans="1:79" s="215" customFormat="1" ht="21" customHeight="1" x14ac:dyDescent="0.25">
      <c r="A153" s="117" t="s">
        <v>365</v>
      </c>
      <c r="B153" s="186" t="s">
        <v>28</v>
      </c>
      <c r="C153" s="186" t="s">
        <v>354</v>
      </c>
      <c r="D153" s="187" t="s">
        <v>355</v>
      </c>
      <c r="E153" s="23" t="s">
        <v>366</v>
      </c>
      <c r="F153" s="209"/>
      <c r="G153" s="210"/>
      <c r="H153" s="211"/>
      <c r="I153" s="212">
        <v>90</v>
      </c>
      <c r="J153" s="81"/>
      <c r="K153" s="213">
        <f t="shared" si="24"/>
        <v>0</v>
      </c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  <c r="X153" s="214"/>
      <c r="Y153" s="214"/>
      <c r="Z153" s="214"/>
      <c r="AA153" s="214"/>
      <c r="AB153" s="214"/>
      <c r="AC153" s="214"/>
      <c r="AD153" s="214"/>
      <c r="AE153" s="214"/>
      <c r="AF153" s="214"/>
      <c r="AG153" s="214"/>
      <c r="AH153" s="214"/>
      <c r="AI153" s="214"/>
      <c r="AJ153" s="214"/>
      <c r="AK153" s="214"/>
      <c r="AL153" s="214"/>
      <c r="AM153" s="214"/>
      <c r="AN153" s="214"/>
      <c r="AO153" s="214"/>
      <c r="AP153" s="214"/>
      <c r="AQ153" s="214"/>
      <c r="AR153" s="214"/>
      <c r="AS153" s="214"/>
      <c r="AT153" s="214"/>
      <c r="AU153" s="214"/>
      <c r="AV153" s="214"/>
      <c r="AW153" s="214"/>
      <c r="AX153" s="214"/>
      <c r="AY153" s="214"/>
      <c r="AZ153" s="214"/>
      <c r="BA153" s="214"/>
      <c r="BB153" s="214"/>
      <c r="BC153" s="214"/>
      <c r="BD153" s="214"/>
      <c r="BE153" s="214"/>
      <c r="BF153" s="214"/>
      <c r="BG153" s="214"/>
      <c r="BH153" s="214"/>
      <c r="BI153" s="214"/>
      <c r="BJ153" s="214"/>
      <c r="BK153" s="214"/>
      <c r="BL153" s="214"/>
      <c r="BM153" s="214"/>
      <c r="BN153" s="214"/>
      <c r="BO153" s="214"/>
      <c r="BP153" s="214"/>
      <c r="BQ153" s="214"/>
      <c r="BR153" s="214"/>
      <c r="BS153" s="214"/>
      <c r="BT153" s="214"/>
      <c r="BU153" s="214"/>
      <c r="BV153" s="214"/>
      <c r="BW153" s="214"/>
      <c r="BX153" s="214"/>
      <c r="BY153" s="214"/>
      <c r="BZ153" s="214"/>
      <c r="CA153" s="214"/>
    </row>
    <row r="154" spans="1:79" s="215" customFormat="1" ht="21" customHeight="1" x14ac:dyDescent="0.25">
      <c r="A154" s="117" t="s">
        <v>367</v>
      </c>
      <c r="B154" s="186" t="s">
        <v>28</v>
      </c>
      <c r="C154" s="186" t="s">
        <v>332</v>
      </c>
      <c r="D154" s="187" t="s">
        <v>355</v>
      </c>
      <c r="E154" s="23" t="s">
        <v>368</v>
      </c>
      <c r="F154" s="209"/>
      <c r="G154" s="210"/>
      <c r="H154" s="211"/>
      <c r="I154" s="212">
        <v>66</v>
      </c>
      <c r="J154" s="81"/>
      <c r="K154" s="213">
        <f t="shared" si="24"/>
        <v>0</v>
      </c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  <c r="X154" s="214"/>
      <c r="Y154" s="214"/>
      <c r="Z154" s="214"/>
      <c r="AA154" s="214"/>
      <c r="AB154" s="214"/>
      <c r="AC154" s="214"/>
      <c r="AD154" s="214"/>
      <c r="AE154" s="214"/>
      <c r="AF154" s="214"/>
      <c r="AG154" s="214"/>
      <c r="AH154" s="214"/>
      <c r="AI154" s="214"/>
      <c r="AJ154" s="214"/>
      <c r="AK154" s="214"/>
      <c r="AL154" s="214"/>
      <c r="AM154" s="214"/>
      <c r="AN154" s="214"/>
      <c r="AO154" s="214"/>
      <c r="AP154" s="214"/>
      <c r="AQ154" s="214"/>
      <c r="AR154" s="214"/>
      <c r="AS154" s="214"/>
      <c r="AT154" s="214"/>
      <c r="AU154" s="214"/>
      <c r="AV154" s="214"/>
      <c r="AW154" s="214"/>
      <c r="AX154" s="214"/>
      <c r="AY154" s="214"/>
      <c r="AZ154" s="214"/>
      <c r="BA154" s="214"/>
      <c r="BB154" s="214"/>
      <c r="BC154" s="214"/>
      <c r="BD154" s="214"/>
      <c r="BE154" s="214"/>
      <c r="BF154" s="214"/>
      <c r="BG154" s="214"/>
      <c r="BH154" s="214"/>
      <c r="BI154" s="214"/>
      <c r="BJ154" s="214"/>
      <c r="BK154" s="214"/>
      <c r="BL154" s="214"/>
      <c r="BM154" s="214"/>
      <c r="BN154" s="214"/>
      <c r="BO154" s="214"/>
      <c r="BP154" s="214"/>
      <c r="BQ154" s="214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</row>
    <row r="155" spans="1:79" s="215" customFormat="1" ht="21" customHeight="1" x14ac:dyDescent="0.25">
      <c r="A155" s="117" t="s">
        <v>369</v>
      </c>
      <c r="B155" s="186" t="s">
        <v>28</v>
      </c>
      <c r="C155" s="186" t="s">
        <v>131</v>
      </c>
      <c r="D155" s="187" t="s">
        <v>351</v>
      </c>
      <c r="E155" s="23" t="s">
        <v>370</v>
      </c>
      <c r="F155" s="209"/>
      <c r="G155" s="210"/>
      <c r="H155" s="211"/>
      <c r="I155" s="212">
        <v>93</v>
      </c>
      <c r="J155" s="81"/>
      <c r="K155" s="213">
        <f t="shared" si="24"/>
        <v>0</v>
      </c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  <c r="AA155" s="214"/>
      <c r="AB155" s="214"/>
      <c r="AC155" s="214"/>
      <c r="AD155" s="214"/>
      <c r="AE155" s="214"/>
      <c r="AF155" s="214"/>
      <c r="AG155" s="214"/>
      <c r="AH155" s="214"/>
      <c r="AI155" s="214"/>
      <c r="AJ155" s="214"/>
      <c r="AK155" s="214"/>
      <c r="AL155" s="214"/>
      <c r="AM155" s="214"/>
      <c r="AN155" s="214"/>
      <c r="AO155" s="214"/>
      <c r="AP155" s="214"/>
      <c r="AQ155" s="214"/>
      <c r="AR155" s="214"/>
      <c r="AS155" s="214"/>
      <c r="AT155" s="214"/>
      <c r="AU155" s="214"/>
      <c r="AV155" s="214"/>
      <c r="AW155" s="214"/>
      <c r="AX155" s="214"/>
      <c r="AY155" s="214"/>
      <c r="AZ155" s="214"/>
      <c r="BA155" s="214"/>
      <c r="BB155" s="214"/>
      <c r="BC155" s="214"/>
      <c r="BD155" s="214"/>
      <c r="BE155" s="214"/>
      <c r="BF155" s="214"/>
      <c r="BG155" s="214"/>
      <c r="BH155" s="214"/>
      <c r="BI155" s="214"/>
      <c r="BJ155" s="214"/>
      <c r="BK155" s="214"/>
      <c r="BL155" s="214"/>
      <c r="BM155" s="214"/>
      <c r="BN155" s="214"/>
      <c r="BO155" s="214"/>
      <c r="BP155" s="214"/>
      <c r="BQ155" s="214"/>
      <c r="BR155" s="214"/>
      <c r="BS155" s="214"/>
      <c r="BT155" s="214"/>
      <c r="BU155" s="214"/>
      <c r="BV155" s="214"/>
      <c r="BW155" s="214"/>
      <c r="BX155" s="214"/>
      <c r="BY155" s="214"/>
      <c r="BZ155" s="214"/>
      <c r="CA155" s="214"/>
    </row>
    <row r="156" spans="1:79" s="215" customFormat="1" ht="21" customHeight="1" x14ac:dyDescent="0.25">
      <c r="A156" s="117" t="s">
        <v>367</v>
      </c>
      <c r="B156" s="186" t="s">
        <v>28</v>
      </c>
      <c r="C156" s="186" t="s">
        <v>332</v>
      </c>
      <c r="D156" s="187" t="s">
        <v>371</v>
      </c>
      <c r="E156" s="23" t="s">
        <v>372</v>
      </c>
      <c r="F156" s="209"/>
      <c r="G156" s="210"/>
      <c r="H156" s="211"/>
      <c r="I156" s="212">
        <v>56</v>
      </c>
      <c r="J156" s="81"/>
      <c r="K156" s="213">
        <f t="shared" ref="K156" si="25">G156*I156</f>
        <v>0</v>
      </c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  <c r="AA156" s="214"/>
      <c r="AB156" s="214"/>
      <c r="AC156" s="214"/>
      <c r="AD156" s="214"/>
      <c r="AE156" s="214"/>
      <c r="AF156" s="214"/>
      <c r="AG156" s="214"/>
      <c r="AH156" s="214"/>
      <c r="AI156" s="214"/>
      <c r="AJ156" s="214"/>
      <c r="AK156" s="214"/>
      <c r="AL156" s="214"/>
      <c r="AM156" s="214"/>
      <c r="AN156" s="214"/>
      <c r="AO156" s="214"/>
      <c r="AP156" s="214"/>
      <c r="AQ156" s="214"/>
      <c r="AR156" s="214"/>
      <c r="AS156" s="214"/>
      <c r="AT156" s="214"/>
      <c r="AU156" s="214"/>
      <c r="AV156" s="214"/>
      <c r="AW156" s="214"/>
      <c r="AX156" s="214"/>
      <c r="AY156" s="214"/>
      <c r="AZ156" s="214"/>
      <c r="BA156" s="214"/>
      <c r="BB156" s="214"/>
      <c r="BC156" s="214"/>
      <c r="BD156" s="214"/>
      <c r="BE156" s="214"/>
      <c r="BF156" s="214"/>
      <c r="BG156" s="214"/>
      <c r="BH156" s="214"/>
      <c r="BI156" s="214"/>
      <c r="BJ156" s="214"/>
      <c r="BK156" s="214"/>
      <c r="BL156" s="214"/>
      <c r="BM156" s="214"/>
      <c r="BN156" s="214"/>
      <c r="BO156" s="214"/>
      <c r="BP156" s="214"/>
      <c r="BQ156" s="214"/>
      <c r="BR156" s="214"/>
      <c r="BS156" s="214"/>
      <c r="BT156" s="214"/>
      <c r="BU156" s="214"/>
      <c r="BV156" s="214"/>
      <c r="BW156" s="214"/>
      <c r="BX156" s="214"/>
      <c r="BY156" s="214"/>
      <c r="BZ156" s="214"/>
      <c r="CA156" s="214"/>
    </row>
    <row r="157" spans="1:79" s="215" customFormat="1" ht="21" customHeight="1" x14ac:dyDescent="0.25">
      <c r="A157" s="117" t="s">
        <v>373</v>
      </c>
      <c r="B157" s="186" t="s">
        <v>28</v>
      </c>
      <c r="C157" s="186" t="s">
        <v>354</v>
      </c>
      <c r="D157" s="187" t="s">
        <v>355</v>
      </c>
      <c r="E157" s="23" t="s">
        <v>374</v>
      </c>
      <c r="F157" s="209"/>
      <c r="G157" s="210"/>
      <c r="H157" s="211"/>
      <c r="I157" s="212">
        <v>73</v>
      </c>
      <c r="J157" s="81"/>
      <c r="K157" s="213">
        <f t="shared" si="24"/>
        <v>0</v>
      </c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  <c r="Y157" s="214"/>
      <c r="Z157" s="214"/>
      <c r="AA157" s="214"/>
      <c r="AB157" s="214"/>
      <c r="AC157" s="214"/>
      <c r="AD157" s="214"/>
      <c r="AE157" s="214"/>
      <c r="AF157" s="214"/>
      <c r="AG157" s="214"/>
      <c r="AH157" s="214"/>
      <c r="AI157" s="214"/>
      <c r="AJ157" s="214"/>
      <c r="AK157" s="214"/>
      <c r="AL157" s="214"/>
      <c r="AM157" s="214"/>
      <c r="AN157" s="214"/>
      <c r="AO157" s="214"/>
      <c r="AP157" s="214"/>
      <c r="AQ157" s="214"/>
      <c r="AR157" s="214"/>
      <c r="AS157" s="214"/>
      <c r="AT157" s="214"/>
      <c r="AU157" s="214"/>
      <c r="AV157" s="214"/>
      <c r="AW157" s="214"/>
      <c r="AX157" s="214"/>
      <c r="AY157" s="214"/>
      <c r="AZ157" s="214"/>
      <c r="BA157" s="214"/>
      <c r="BB157" s="214"/>
      <c r="BC157" s="214"/>
      <c r="BD157" s="214"/>
      <c r="BE157" s="214"/>
      <c r="BF157" s="214"/>
      <c r="BG157" s="214"/>
      <c r="BH157" s="214"/>
      <c r="BI157" s="214"/>
      <c r="BJ157" s="214"/>
      <c r="BK157" s="214"/>
      <c r="BL157" s="214"/>
      <c r="BM157" s="214"/>
      <c r="BN157" s="214"/>
      <c r="BO157" s="214"/>
      <c r="BP157" s="214"/>
      <c r="BQ157" s="214"/>
      <c r="BR157" s="214"/>
      <c r="BS157" s="214"/>
      <c r="BT157" s="214"/>
      <c r="BU157" s="214"/>
      <c r="BV157" s="214"/>
      <c r="BW157" s="214"/>
      <c r="BX157" s="214"/>
      <c r="BY157" s="214"/>
      <c r="BZ157" s="214"/>
      <c r="CA157" s="214"/>
    </row>
    <row r="158" spans="1:79" s="215" customFormat="1" ht="21" customHeight="1" x14ac:dyDescent="0.25">
      <c r="A158" s="117" t="s">
        <v>375</v>
      </c>
      <c r="B158" s="186" t="s">
        <v>28</v>
      </c>
      <c r="C158" s="186" t="s">
        <v>354</v>
      </c>
      <c r="D158" s="187" t="s">
        <v>376</v>
      </c>
      <c r="E158" s="23" t="s">
        <v>377</v>
      </c>
      <c r="F158" s="209"/>
      <c r="G158" s="210"/>
      <c r="H158" s="211"/>
      <c r="I158" s="212">
        <v>85</v>
      </c>
      <c r="J158" s="81"/>
      <c r="K158" s="213">
        <f t="shared" ref="K158" si="26">G158*I158</f>
        <v>0</v>
      </c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  <c r="AA158" s="214"/>
      <c r="AB158" s="214"/>
      <c r="AC158" s="214"/>
      <c r="AD158" s="214"/>
      <c r="AE158" s="214"/>
      <c r="AF158" s="214"/>
      <c r="AG158" s="214"/>
      <c r="AH158" s="214"/>
      <c r="AI158" s="214"/>
      <c r="AJ158" s="214"/>
      <c r="AK158" s="214"/>
      <c r="AL158" s="214"/>
      <c r="AM158" s="214"/>
      <c r="AN158" s="214"/>
      <c r="AO158" s="214"/>
      <c r="AP158" s="214"/>
      <c r="AQ158" s="214"/>
      <c r="AR158" s="214"/>
      <c r="AS158" s="214"/>
      <c r="AT158" s="214"/>
      <c r="AU158" s="214"/>
      <c r="AV158" s="214"/>
      <c r="AW158" s="214"/>
      <c r="AX158" s="214"/>
      <c r="AY158" s="214"/>
      <c r="AZ158" s="214"/>
      <c r="BA158" s="214"/>
      <c r="BB158" s="214"/>
      <c r="BC158" s="214"/>
      <c r="BD158" s="214"/>
      <c r="BE158" s="214"/>
      <c r="BF158" s="214"/>
      <c r="BG158" s="214"/>
      <c r="BH158" s="214"/>
      <c r="BI158" s="214"/>
      <c r="BJ158" s="214"/>
      <c r="BK158" s="214"/>
      <c r="BL158" s="214"/>
      <c r="BM158" s="214"/>
      <c r="BN158" s="214"/>
      <c r="BO158" s="214"/>
      <c r="BP158" s="214"/>
      <c r="BQ158" s="214"/>
      <c r="BR158" s="214"/>
      <c r="BS158" s="214"/>
      <c r="BT158" s="214"/>
      <c r="BU158" s="214"/>
      <c r="BV158" s="214"/>
      <c r="BW158" s="214"/>
      <c r="BX158" s="214"/>
      <c r="BY158" s="214"/>
      <c r="BZ158" s="214"/>
      <c r="CA158" s="214"/>
    </row>
    <row r="159" spans="1:79" s="215" customFormat="1" ht="21" customHeight="1" x14ac:dyDescent="0.25">
      <c r="A159" s="117" t="s">
        <v>378</v>
      </c>
      <c r="B159" s="186" t="s">
        <v>28</v>
      </c>
      <c r="C159" s="186" t="s">
        <v>379</v>
      </c>
      <c r="D159" s="187" t="s">
        <v>376</v>
      </c>
      <c r="E159" s="23" t="s">
        <v>380</v>
      </c>
      <c r="F159" s="209"/>
      <c r="G159" s="210"/>
      <c r="H159" s="211"/>
      <c r="I159" s="212">
        <v>61</v>
      </c>
      <c r="J159" s="81"/>
      <c r="K159" s="213">
        <f t="shared" si="24"/>
        <v>0</v>
      </c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  <c r="W159" s="214"/>
      <c r="X159" s="214"/>
      <c r="Y159" s="214"/>
      <c r="Z159" s="214"/>
      <c r="AA159" s="214"/>
      <c r="AB159" s="214"/>
      <c r="AC159" s="214"/>
      <c r="AD159" s="214"/>
      <c r="AE159" s="214"/>
      <c r="AF159" s="214"/>
      <c r="AG159" s="214"/>
      <c r="AH159" s="214"/>
      <c r="AI159" s="214"/>
      <c r="AJ159" s="214"/>
      <c r="AK159" s="214"/>
      <c r="AL159" s="214"/>
      <c r="AM159" s="214"/>
      <c r="AN159" s="214"/>
      <c r="AO159" s="214"/>
      <c r="AP159" s="214"/>
      <c r="AQ159" s="214"/>
      <c r="AR159" s="214"/>
      <c r="AS159" s="214"/>
      <c r="AT159" s="214"/>
      <c r="AU159" s="214"/>
      <c r="AV159" s="214"/>
      <c r="AW159" s="214"/>
      <c r="AX159" s="214"/>
      <c r="AY159" s="214"/>
      <c r="AZ159" s="214"/>
      <c r="BA159" s="214"/>
      <c r="BB159" s="214"/>
      <c r="BC159" s="214"/>
      <c r="BD159" s="214"/>
      <c r="BE159" s="214"/>
      <c r="BF159" s="214"/>
      <c r="BG159" s="214"/>
      <c r="BH159" s="214"/>
      <c r="BI159" s="214"/>
      <c r="BJ159" s="214"/>
      <c r="BK159" s="214"/>
      <c r="BL159" s="214"/>
      <c r="BM159" s="214"/>
      <c r="BN159" s="214"/>
      <c r="BO159" s="214"/>
      <c r="BP159" s="214"/>
      <c r="BQ159" s="214"/>
      <c r="BR159" s="214"/>
      <c r="BS159" s="214"/>
      <c r="BT159" s="214"/>
      <c r="BU159" s="214"/>
      <c r="BV159" s="214"/>
      <c r="BW159" s="214"/>
      <c r="BX159" s="214"/>
      <c r="BY159" s="214"/>
      <c r="BZ159" s="214"/>
      <c r="CA159" s="214"/>
    </row>
    <row r="160" spans="1:79" s="215" customFormat="1" ht="21" customHeight="1" x14ac:dyDescent="0.25">
      <c r="A160" s="117" t="s">
        <v>381</v>
      </c>
      <c r="B160" s="186" t="s">
        <v>28</v>
      </c>
      <c r="C160" s="186" t="s">
        <v>382</v>
      </c>
      <c r="D160" s="187" t="s">
        <v>355</v>
      </c>
      <c r="E160" s="23" t="s">
        <v>383</v>
      </c>
      <c r="F160" s="209"/>
      <c r="G160" s="210"/>
      <c r="H160" s="211"/>
      <c r="I160" s="212">
        <v>39</v>
      </c>
      <c r="J160" s="81"/>
      <c r="K160" s="213">
        <f t="shared" si="24"/>
        <v>0</v>
      </c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  <c r="W160" s="214"/>
      <c r="X160" s="214"/>
      <c r="Y160" s="214"/>
      <c r="Z160" s="214"/>
      <c r="AA160" s="214"/>
      <c r="AB160" s="214"/>
      <c r="AC160" s="214"/>
      <c r="AD160" s="214"/>
      <c r="AE160" s="214"/>
      <c r="AF160" s="214"/>
      <c r="AG160" s="214"/>
      <c r="AH160" s="214"/>
      <c r="AI160" s="214"/>
      <c r="AJ160" s="214"/>
      <c r="AK160" s="214"/>
      <c r="AL160" s="214"/>
      <c r="AM160" s="214"/>
      <c r="AN160" s="214"/>
      <c r="AO160" s="214"/>
      <c r="AP160" s="214"/>
      <c r="AQ160" s="214"/>
      <c r="AR160" s="214"/>
      <c r="AS160" s="214"/>
      <c r="AT160" s="214"/>
      <c r="AU160" s="214"/>
      <c r="AV160" s="214"/>
      <c r="AW160" s="214"/>
      <c r="AX160" s="214"/>
      <c r="AY160" s="214"/>
      <c r="AZ160" s="214"/>
      <c r="BA160" s="214"/>
      <c r="BB160" s="214"/>
      <c r="BC160" s="214"/>
      <c r="BD160" s="214"/>
      <c r="BE160" s="214"/>
      <c r="BF160" s="214"/>
      <c r="BG160" s="214"/>
      <c r="BH160" s="214"/>
      <c r="BI160" s="214"/>
      <c r="BJ160" s="214"/>
      <c r="BK160" s="214"/>
      <c r="BL160" s="214"/>
      <c r="BM160" s="214"/>
      <c r="BN160" s="214"/>
      <c r="BO160" s="214"/>
      <c r="BP160" s="214"/>
      <c r="BQ160" s="214"/>
      <c r="BR160" s="214"/>
      <c r="BS160" s="214"/>
      <c r="BT160" s="214"/>
      <c r="BU160" s="214"/>
      <c r="BV160" s="214"/>
      <c r="BW160" s="214"/>
      <c r="BX160" s="214"/>
      <c r="BY160" s="214"/>
      <c r="BZ160" s="214"/>
      <c r="CA160" s="214"/>
    </row>
    <row r="161" spans="1:79" s="215" customFormat="1" ht="21" customHeight="1" x14ac:dyDescent="0.25">
      <c r="A161" s="117" t="s">
        <v>384</v>
      </c>
      <c r="B161" s="186" t="s">
        <v>28</v>
      </c>
      <c r="C161" s="186" t="s">
        <v>382</v>
      </c>
      <c r="D161" s="187" t="s">
        <v>355</v>
      </c>
      <c r="E161" s="23" t="s">
        <v>385</v>
      </c>
      <c r="F161" s="209"/>
      <c r="G161" s="210"/>
      <c r="H161" s="211"/>
      <c r="I161" s="212">
        <v>46</v>
      </c>
      <c r="J161" s="81"/>
      <c r="K161" s="213">
        <f t="shared" si="24"/>
        <v>0</v>
      </c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  <c r="AA161" s="214"/>
      <c r="AB161" s="214"/>
      <c r="AC161" s="214"/>
      <c r="AD161" s="214"/>
      <c r="AE161" s="214"/>
      <c r="AF161" s="214"/>
      <c r="AG161" s="214"/>
      <c r="AH161" s="214"/>
      <c r="AI161" s="214"/>
      <c r="AJ161" s="214"/>
      <c r="AK161" s="214"/>
      <c r="AL161" s="214"/>
      <c r="AM161" s="214"/>
      <c r="AN161" s="214"/>
      <c r="AO161" s="214"/>
      <c r="AP161" s="214"/>
      <c r="AQ161" s="214"/>
      <c r="AR161" s="214"/>
      <c r="AS161" s="214"/>
      <c r="AT161" s="214"/>
      <c r="AU161" s="214"/>
      <c r="AV161" s="214"/>
      <c r="AW161" s="214"/>
      <c r="AX161" s="214"/>
      <c r="AY161" s="214"/>
      <c r="AZ161" s="214"/>
      <c r="BA161" s="214"/>
      <c r="BB161" s="214"/>
      <c r="BC161" s="214"/>
      <c r="BD161" s="214"/>
      <c r="BE161" s="214"/>
      <c r="BF161" s="214"/>
      <c r="BG161" s="214"/>
      <c r="BH161" s="214"/>
      <c r="BI161" s="214"/>
      <c r="BJ161" s="214"/>
      <c r="BK161" s="214"/>
      <c r="BL161" s="214"/>
      <c r="BM161" s="214"/>
      <c r="BN161" s="214"/>
      <c r="BO161" s="214"/>
      <c r="BP161" s="214"/>
      <c r="BQ161" s="214"/>
      <c r="BR161" s="214"/>
      <c r="BS161" s="214"/>
      <c r="BT161" s="214"/>
      <c r="BU161" s="214"/>
      <c r="BV161" s="214"/>
      <c r="BW161" s="214"/>
      <c r="BX161" s="214"/>
      <c r="BY161" s="214"/>
      <c r="BZ161" s="214"/>
      <c r="CA161" s="214"/>
    </row>
    <row r="162" spans="1:79" s="215" customFormat="1" ht="21" customHeight="1" x14ac:dyDescent="0.25">
      <c r="A162" s="117" t="s">
        <v>386</v>
      </c>
      <c r="B162" s="186" t="s">
        <v>28</v>
      </c>
      <c r="C162" s="186" t="s">
        <v>131</v>
      </c>
      <c r="D162" s="187" t="s">
        <v>351</v>
      </c>
      <c r="E162" s="23" t="s">
        <v>387</v>
      </c>
      <c r="F162" s="209"/>
      <c r="G162" s="210"/>
      <c r="H162" s="211"/>
      <c r="I162" s="212">
        <v>56</v>
      </c>
      <c r="J162" s="81"/>
      <c r="K162" s="213">
        <f t="shared" si="24"/>
        <v>0</v>
      </c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  <c r="W162" s="214"/>
      <c r="X162" s="214"/>
      <c r="Y162" s="214"/>
      <c r="Z162" s="214"/>
      <c r="AA162" s="214"/>
      <c r="AB162" s="214"/>
      <c r="AC162" s="214"/>
      <c r="AD162" s="214"/>
      <c r="AE162" s="214"/>
      <c r="AF162" s="214"/>
      <c r="AG162" s="214"/>
      <c r="AH162" s="214"/>
      <c r="AI162" s="214"/>
      <c r="AJ162" s="214"/>
      <c r="AK162" s="214"/>
      <c r="AL162" s="214"/>
      <c r="AM162" s="214"/>
      <c r="AN162" s="214"/>
      <c r="AO162" s="214"/>
      <c r="AP162" s="214"/>
      <c r="AQ162" s="214"/>
      <c r="AR162" s="214"/>
      <c r="AS162" s="214"/>
      <c r="AT162" s="214"/>
      <c r="AU162" s="214"/>
      <c r="AV162" s="214"/>
      <c r="AW162" s="214"/>
      <c r="AX162" s="214"/>
      <c r="AY162" s="214"/>
      <c r="AZ162" s="214"/>
      <c r="BA162" s="214"/>
      <c r="BB162" s="214"/>
      <c r="BC162" s="214"/>
      <c r="BD162" s="214"/>
      <c r="BE162" s="214"/>
      <c r="BF162" s="214"/>
      <c r="BG162" s="214"/>
      <c r="BH162" s="214"/>
      <c r="BI162" s="214"/>
      <c r="BJ162" s="214"/>
      <c r="BK162" s="214"/>
      <c r="BL162" s="214"/>
      <c r="BM162" s="214"/>
      <c r="BN162" s="214"/>
      <c r="BO162" s="214"/>
      <c r="BP162" s="214"/>
      <c r="BQ162" s="214"/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</row>
    <row r="163" spans="1:79" s="215" customFormat="1" ht="21" customHeight="1" x14ac:dyDescent="0.25">
      <c r="A163" s="117" t="s">
        <v>388</v>
      </c>
      <c r="B163" s="186" t="s">
        <v>208</v>
      </c>
      <c r="C163" s="186" t="s">
        <v>389</v>
      </c>
      <c r="D163" s="187" t="s">
        <v>390</v>
      </c>
      <c r="E163" s="23" t="s">
        <v>391</v>
      </c>
      <c r="F163" s="209"/>
      <c r="G163" s="210"/>
      <c r="H163" s="211"/>
      <c r="I163" s="212">
        <v>45</v>
      </c>
      <c r="J163" s="81"/>
      <c r="K163" s="213">
        <f t="shared" ref="K163" si="27">G163*I163</f>
        <v>0</v>
      </c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  <c r="W163" s="214"/>
      <c r="X163" s="214"/>
      <c r="Y163" s="214"/>
      <c r="Z163" s="214"/>
      <c r="AA163" s="214"/>
      <c r="AB163" s="214"/>
      <c r="AC163" s="214"/>
      <c r="AD163" s="214"/>
      <c r="AE163" s="214"/>
      <c r="AF163" s="214"/>
      <c r="AG163" s="214"/>
      <c r="AH163" s="214"/>
      <c r="AI163" s="214"/>
      <c r="AJ163" s="214"/>
      <c r="AK163" s="214"/>
      <c r="AL163" s="214"/>
      <c r="AM163" s="214"/>
      <c r="AN163" s="214"/>
      <c r="AO163" s="214"/>
      <c r="AP163" s="214"/>
      <c r="AQ163" s="214"/>
      <c r="AR163" s="214"/>
      <c r="AS163" s="214"/>
      <c r="AT163" s="214"/>
      <c r="AU163" s="214"/>
      <c r="AV163" s="214"/>
      <c r="AW163" s="214"/>
      <c r="AX163" s="214"/>
      <c r="AY163" s="214"/>
      <c r="AZ163" s="214"/>
      <c r="BA163" s="214"/>
      <c r="BB163" s="214"/>
      <c r="BC163" s="214"/>
      <c r="BD163" s="214"/>
      <c r="BE163" s="214"/>
      <c r="BF163" s="214"/>
      <c r="BG163" s="214"/>
      <c r="BH163" s="214"/>
      <c r="BI163" s="214"/>
      <c r="BJ163" s="214"/>
      <c r="BK163" s="214"/>
      <c r="BL163" s="214"/>
      <c r="BM163" s="214"/>
      <c r="BN163" s="214"/>
      <c r="BO163" s="214"/>
      <c r="BP163" s="214"/>
      <c r="BQ163" s="214"/>
      <c r="BR163" s="214"/>
      <c r="BS163" s="214"/>
      <c r="BT163" s="214"/>
      <c r="BU163" s="214"/>
      <c r="BV163" s="214"/>
      <c r="BW163" s="214"/>
      <c r="BX163" s="214"/>
      <c r="BY163" s="214"/>
      <c r="BZ163" s="214"/>
      <c r="CA163" s="214"/>
    </row>
    <row r="164" spans="1:79" s="215" customFormat="1" ht="21" customHeight="1" x14ac:dyDescent="0.25">
      <c r="A164" s="117" t="s">
        <v>392</v>
      </c>
      <c r="B164" s="186" t="s">
        <v>208</v>
      </c>
      <c r="C164" s="186" t="s">
        <v>389</v>
      </c>
      <c r="D164" s="187" t="s">
        <v>393</v>
      </c>
      <c r="E164" s="23" t="s">
        <v>394</v>
      </c>
      <c r="F164" s="209"/>
      <c r="G164" s="210"/>
      <c r="H164" s="211"/>
      <c r="I164" s="212">
        <v>54</v>
      </c>
      <c r="J164" s="81" t="s">
        <v>395</v>
      </c>
      <c r="K164" s="213">
        <f t="shared" ref="K164" si="28">G164*I164</f>
        <v>0</v>
      </c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  <c r="X164" s="214"/>
      <c r="Y164" s="214"/>
      <c r="Z164" s="214"/>
      <c r="AA164" s="214"/>
      <c r="AB164" s="214"/>
      <c r="AC164" s="214"/>
      <c r="AD164" s="214"/>
      <c r="AE164" s="214"/>
      <c r="AF164" s="214"/>
      <c r="AG164" s="214"/>
      <c r="AH164" s="214"/>
      <c r="AI164" s="214"/>
      <c r="AJ164" s="214"/>
      <c r="AK164" s="214"/>
      <c r="AL164" s="214"/>
      <c r="AM164" s="214"/>
      <c r="AN164" s="214"/>
      <c r="AO164" s="214"/>
      <c r="AP164" s="214"/>
      <c r="AQ164" s="214"/>
      <c r="AR164" s="214"/>
      <c r="AS164" s="214"/>
      <c r="AT164" s="214"/>
      <c r="AU164" s="214"/>
      <c r="AV164" s="214"/>
      <c r="AW164" s="214"/>
      <c r="AX164" s="214"/>
      <c r="AY164" s="214"/>
      <c r="AZ164" s="214"/>
      <c r="BA164" s="214"/>
      <c r="BB164" s="214"/>
      <c r="BC164" s="214"/>
      <c r="BD164" s="214"/>
      <c r="BE164" s="214"/>
      <c r="BF164" s="214"/>
      <c r="BG164" s="214"/>
      <c r="BH164" s="214"/>
      <c r="BI164" s="214"/>
      <c r="BJ164" s="214"/>
      <c r="BK164" s="214"/>
      <c r="BL164" s="214"/>
      <c r="BM164" s="214"/>
      <c r="BN164" s="214"/>
      <c r="BO164" s="214"/>
      <c r="BP164" s="214"/>
      <c r="BQ164" s="214"/>
      <c r="BR164" s="214"/>
      <c r="BS164" s="214"/>
      <c r="BT164" s="214"/>
      <c r="BU164" s="214"/>
      <c r="BV164" s="214"/>
      <c r="BW164" s="214"/>
      <c r="BX164" s="214"/>
      <c r="BY164" s="214"/>
      <c r="BZ164" s="214"/>
      <c r="CA164" s="214"/>
    </row>
    <row r="165" spans="1:79" s="215" customFormat="1" ht="21" customHeight="1" x14ac:dyDescent="0.25">
      <c r="A165" s="117" t="s">
        <v>396</v>
      </c>
      <c r="B165" s="186" t="s">
        <v>208</v>
      </c>
      <c r="C165" s="186" t="s">
        <v>66</v>
      </c>
      <c r="D165" s="187" t="s">
        <v>390</v>
      </c>
      <c r="E165" s="23" t="s">
        <v>397</v>
      </c>
      <c r="F165" s="209"/>
      <c r="G165" s="210"/>
      <c r="H165" s="211"/>
      <c r="I165" s="212">
        <v>45</v>
      </c>
      <c r="J165" s="81" t="s">
        <v>398</v>
      </c>
      <c r="K165" s="213">
        <f t="shared" ref="K165" si="29">G165*I165</f>
        <v>0</v>
      </c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  <c r="X165" s="214"/>
      <c r="Y165" s="214"/>
      <c r="Z165" s="214"/>
      <c r="AA165" s="214"/>
      <c r="AB165" s="214"/>
      <c r="AC165" s="214"/>
      <c r="AD165" s="214"/>
      <c r="AE165" s="214"/>
      <c r="AF165" s="214"/>
      <c r="AG165" s="214"/>
      <c r="AH165" s="214"/>
      <c r="AI165" s="214"/>
      <c r="AJ165" s="214"/>
      <c r="AK165" s="214"/>
      <c r="AL165" s="214"/>
      <c r="AM165" s="214"/>
      <c r="AN165" s="214"/>
      <c r="AO165" s="214"/>
      <c r="AP165" s="214"/>
      <c r="AQ165" s="214"/>
      <c r="AR165" s="214"/>
      <c r="AS165" s="214"/>
      <c r="AT165" s="214"/>
      <c r="AU165" s="214"/>
      <c r="AV165" s="214"/>
      <c r="AW165" s="214"/>
      <c r="AX165" s="214"/>
      <c r="AY165" s="214"/>
      <c r="AZ165" s="214"/>
      <c r="BA165" s="214"/>
      <c r="BB165" s="214"/>
      <c r="BC165" s="214"/>
      <c r="BD165" s="214"/>
      <c r="BE165" s="214"/>
      <c r="BF165" s="214"/>
      <c r="BG165" s="214"/>
      <c r="BH165" s="214"/>
      <c r="BI165" s="214"/>
      <c r="BJ165" s="214"/>
      <c r="BK165" s="214"/>
      <c r="BL165" s="214"/>
      <c r="BM165" s="214"/>
      <c r="BN165" s="214"/>
      <c r="BO165" s="214"/>
      <c r="BP165" s="214"/>
      <c r="BQ165" s="214"/>
      <c r="BR165" s="214"/>
      <c r="BS165" s="214"/>
      <c r="BT165" s="214"/>
      <c r="BU165" s="214"/>
      <c r="BV165" s="214"/>
      <c r="BW165" s="214"/>
      <c r="BX165" s="214"/>
      <c r="BY165" s="214"/>
      <c r="BZ165" s="214"/>
      <c r="CA165" s="214"/>
    </row>
    <row r="166" spans="1:79" s="215" customFormat="1" ht="21" customHeight="1" x14ac:dyDescent="0.25">
      <c r="A166" s="117" t="s">
        <v>399</v>
      </c>
      <c r="B166" s="186" t="s">
        <v>28</v>
      </c>
      <c r="C166" s="186" t="s">
        <v>400</v>
      </c>
      <c r="D166" s="187" t="s">
        <v>401</v>
      </c>
      <c r="E166" s="23" t="s">
        <v>402</v>
      </c>
      <c r="F166" s="209"/>
      <c r="G166" s="210"/>
      <c r="H166" s="211"/>
      <c r="I166" s="212">
        <v>50</v>
      </c>
      <c r="J166" s="81" t="s">
        <v>403</v>
      </c>
      <c r="K166" s="213">
        <f t="shared" si="24"/>
        <v>0</v>
      </c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  <c r="W166" s="214"/>
      <c r="X166" s="214"/>
      <c r="Y166" s="214"/>
      <c r="Z166" s="214"/>
      <c r="AA166" s="214"/>
      <c r="AB166" s="214"/>
      <c r="AC166" s="214"/>
      <c r="AD166" s="214"/>
      <c r="AE166" s="214"/>
      <c r="AF166" s="214"/>
      <c r="AG166" s="214"/>
      <c r="AH166" s="214"/>
      <c r="AI166" s="214"/>
      <c r="AJ166" s="214"/>
      <c r="AK166" s="214"/>
      <c r="AL166" s="214"/>
      <c r="AM166" s="214"/>
      <c r="AN166" s="214"/>
      <c r="AO166" s="214"/>
      <c r="AP166" s="214"/>
      <c r="AQ166" s="214"/>
      <c r="AR166" s="214"/>
      <c r="AS166" s="214"/>
      <c r="AT166" s="214"/>
      <c r="AU166" s="214"/>
      <c r="AV166" s="214"/>
      <c r="AW166" s="214"/>
      <c r="AX166" s="214"/>
      <c r="AY166" s="214"/>
      <c r="AZ166" s="214"/>
      <c r="BA166" s="214"/>
      <c r="BB166" s="214"/>
      <c r="BC166" s="214"/>
      <c r="BD166" s="214"/>
      <c r="BE166" s="214"/>
      <c r="BF166" s="214"/>
      <c r="BG166" s="214"/>
      <c r="BH166" s="214"/>
      <c r="BI166" s="214"/>
      <c r="BJ166" s="214"/>
      <c r="BK166" s="214"/>
      <c r="BL166" s="214"/>
      <c r="BM166" s="214"/>
      <c r="BN166" s="214"/>
      <c r="BO166" s="214"/>
      <c r="BP166" s="214"/>
      <c r="BQ166" s="214"/>
      <c r="BR166" s="214"/>
      <c r="BS166" s="214"/>
      <c r="BT166" s="214"/>
      <c r="BU166" s="214"/>
      <c r="BV166" s="214"/>
      <c r="BW166" s="214"/>
      <c r="BX166" s="214"/>
      <c r="BY166" s="214"/>
      <c r="BZ166" s="214"/>
      <c r="CA166" s="214"/>
    </row>
    <row r="167" spans="1:79" s="215" customFormat="1" ht="21" customHeight="1" x14ac:dyDescent="0.25">
      <c r="A167" s="117" t="s">
        <v>1287</v>
      </c>
      <c r="B167" s="186" t="s">
        <v>187</v>
      </c>
      <c r="C167" s="186" t="s">
        <v>84</v>
      </c>
      <c r="D167" s="187" t="s">
        <v>1288</v>
      </c>
      <c r="E167" s="23" t="s">
        <v>1289</v>
      </c>
      <c r="F167" s="209"/>
      <c r="G167" s="210"/>
      <c r="H167" s="211"/>
      <c r="I167" s="212">
        <v>52</v>
      </c>
      <c r="J167" s="81"/>
      <c r="K167" s="213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  <c r="X167" s="214"/>
      <c r="Y167" s="214"/>
      <c r="Z167" s="214"/>
      <c r="AA167" s="214"/>
      <c r="AB167" s="214"/>
      <c r="AC167" s="214"/>
      <c r="AD167" s="214"/>
      <c r="AE167" s="214"/>
      <c r="AF167" s="214"/>
      <c r="AG167" s="214"/>
      <c r="AH167" s="214"/>
      <c r="AI167" s="214"/>
      <c r="AJ167" s="214"/>
      <c r="AK167" s="214"/>
      <c r="AL167" s="214"/>
      <c r="AM167" s="214"/>
      <c r="AN167" s="214"/>
      <c r="AO167" s="214"/>
      <c r="AP167" s="214"/>
      <c r="AQ167" s="214"/>
      <c r="AR167" s="214"/>
      <c r="AS167" s="214"/>
      <c r="AT167" s="214"/>
      <c r="AU167" s="214"/>
      <c r="AV167" s="214"/>
      <c r="AW167" s="214"/>
      <c r="AX167" s="214"/>
      <c r="AY167" s="214"/>
      <c r="AZ167" s="214"/>
      <c r="BA167" s="214"/>
      <c r="BB167" s="214"/>
      <c r="BC167" s="214"/>
      <c r="BD167" s="214"/>
      <c r="BE167" s="214"/>
      <c r="BF167" s="214"/>
      <c r="BG167" s="214"/>
      <c r="BH167" s="214"/>
      <c r="BI167" s="214"/>
      <c r="BJ167" s="214"/>
      <c r="BK167" s="214"/>
      <c r="BL167" s="214"/>
      <c r="BM167" s="214"/>
      <c r="BN167" s="214"/>
      <c r="BO167" s="214"/>
      <c r="BP167" s="214"/>
      <c r="BQ167" s="214"/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</row>
    <row r="168" spans="1:79" s="215" customFormat="1" ht="21" customHeight="1" x14ac:dyDescent="0.25">
      <c r="A168" s="117" t="s">
        <v>404</v>
      </c>
      <c r="B168" s="186" t="s">
        <v>28</v>
      </c>
      <c r="C168" s="186" t="s">
        <v>332</v>
      </c>
      <c r="D168" s="187" t="s">
        <v>405</v>
      </c>
      <c r="E168" s="23" t="s">
        <v>406</v>
      </c>
      <c r="F168" s="209"/>
      <c r="G168" s="210"/>
      <c r="H168" s="211"/>
      <c r="I168" s="212">
        <v>24</v>
      </c>
      <c r="J168" s="81"/>
      <c r="K168" s="213">
        <f t="shared" si="24"/>
        <v>0</v>
      </c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14"/>
      <c r="X168" s="214"/>
      <c r="Y168" s="214"/>
      <c r="Z168" s="214"/>
      <c r="AA168" s="214"/>
      <c r="AB168" s="214"/>
      <c r="AC168" s="214"/>
      <c r="AD168" s="214"/>
      <c r="AE168" s="214"/>
      <c r="AF168" s="214"/>
      <c r="AG168" s="214"/>
      <c r="AH168" s="214"/>
      <c r="AI168" s="214"/>
      <c r="AJ168" s="214"/>
      <c r="AK168" s="214"/>
      <c r="AL168" s="214"/>
      <c r="AM168" s="214"/>
      <c r="AN168" s="214"/>
      <c r="AO168" s="214"/>
      <c r="AP168" s="214"/>
      <c r="AQ168" s="214"/>
      <c r="AR168" s="214"/>
      <c r="AS168" s="214"/>
      <c r="AT168" s="214"/>
      <c r="AU168" s="214"/>
      <c r="AV168" s="214"/>
      <c r="AW168" s="214"/>
      <c r="AX168" s="214"/>
      <c r="AY168" s="214"/>
      <c r="AZ168" s="214"/>
      <c r="BA168" s="214"/>
      <c r="BB168" s="214"/>
      <c r="BC168" s="214"/>
      <c r="BD168" s="214"/>
      <c r="BE168" s="214"/>
      <c r="BF168" s="214"/>
      <c r="BG168" s="214"/>
      <c r="BH168" s="214"/>
      <c r="BI168" s="214"/>
      <c r="BJ168" s="214"/>
      <c r="BK168" s="214"/>
      <c r="BL168" s="214"/>
      <c r="BM168" s="214"/>
      <c r="BN168" s="214"/>
      <c r="BO168" s="214"/>
      <c r="BP168" s="214"/>
      <c r="BQ168" s="214"/>
      <c r="BR168" s="214"/>
      <c r="BS168" s="214"/>
      <c r="BT168" s="214"/>
      <c r="BU168" s="214"/>
      <c r="BV168" s="214"/>
      <c r="BW168" s="214"/>
      <c r="BX168" s="214"/>
      <c r="BY168" s="214"/>
      <c r="BZ168" s="214"/>
      <c r="CA168" s="214"/>
    </row>
    <row r="169" spans="1:79" s="215" customFormat="1" ht="21" customHeight="1" x14ac:dyDescent="0.25">
      <c r="A169" s="117" t="s">
        <v>407</v>
      </c>
      <c r="B169" s="186" t="s">
        <v>28</v>
      </c>
      <c r="C169" s="186" t="s">
        <v>131</v>
      </c>
      <c r="D169" s="187" t="s">
        <v>408</v>
      </c>
      <c r="E169" s="23" t="s">
        <v>409</v>
      </c>
      <c r="F169" s="209"/>
      <c r="G169" s="210"/>
      <c r="H169" s="211"/>
      <c r="I169" s="212">
        <v>42</v>
      </c>
      <c r="J169" s="81"/>
      <c r="K169" s="213">
        <f t="shared" si="24"/>
        <v>0</v>
      </c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  <c r="X169" s="214"/>
      <c r="Y169" s="214"/>
      <c r="Z169" s="214"/>
      <c r="AA169" s="214"/>
      <c r="AB169" s="214"/>
      <c r="AC169" s="214"/>
      <c r="AD169" s="214"/>
      <c r="AE169" s="214"/>
      <c r="AF169" s="214"/>
      <c r="AG169" s="214"/>
      <c r="AH169" s="214"/>
      <c r="AI169" s="214"/>
      <c r="AJ169" s="214"/>
      <c r="AK169" s="214"/>
      <c r="AL169" s="214"/>
      <c r="AM169" s="214"/>
      <c r="AN169" s="214"/>
      <c r="AO169" s="214"/>
      <c r="AP169" s="214"/>
      <c r="AQ169" s="214"/>
      <c r="AR169" s="214"/>
      <c r="AS169" s="214"/>
      <c r="AT169" s="214"/>
      <c r="AU169" s="214"/>
      <c r="AV169" s="214"/>
      <c r="AW169" s="214"/>
      <c r="AX169" s="214"/>
      <c r="AY169" s="214"/>
      <c r="AZ169" s="214"/>
      <c r="BA169" s="214"/>
      <c r="BB169" s="214"/>
      <c r="BC169" s="214"/>
      <c r="BD169" s="214"/>
      <c r="BE169" s="214"/>
      <c r="BF169" s="214"/>
      <c r="BG169" s="214"/>
      <c r="BH169" s="214"/>
      <c r="BI169" s="214"/>
      <c r="BJ169" s="214"/>
      <c r="BK169" s="214"/>
      <c r="BL169" s="214"/>
      <c r="BM169" s="214"/>
      <c r="BN169" s="214"/>
      <c r="BO169" s="214"/>
      <c r="BP169" s="214"/>
      <c r="BQ169" s="214"/>
      <c r="BR169" s="214"/>
      <c r="BS169" s="214"/>
      <c r="BT169" s="214"/>
      <c r="BU169" s="214"/>
      <c r="BV169" s="214"/>
      <c r="BW169" s="214"/>
      <c r="BX169" s="214"/>
      <c r="BY169" s="214"/>
      <c r="BZ169" s="214"/>
      <c r="CA169" s="214"/>
    </row>
    <row r="170" spans="1:79" s="215" customFormat="1" ht="21" customHeight="1" x14ac:dyDescent="0.25">
      <c r="A170" s="117" t="s">
        <v>410</v>
      </c>
      <c r="B170" s="186" t="s">
        <v>28</v>
      </c>
      <c r="C170" s="186" t="s">
        <v>131</v>
      </c>
      <c r="D170" s="187" t="s">
        <v>411</v>
      </c>
      <c r="E170" s="23" t="s">
        <v>412</v>
      </c>
      <c r="F170" s="209"/>
      <c r="G170" s="210"/>
      <c r="H170" s="211"/>
      <c r="I170" s="212">
        <v>77</v>
      </c>
      <c r="J170" s="81"/>
      <c r="K170" s="213">
        <f t="shared" si="24"/>
        <v>0</v>
      </c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  <c r="X170" s="214"/>
      <c r="Y170" s="214"/>
      <c r="Z170" s="214"/>
      <c r="AA170" s="214"/>
      <c r="AB170" s="214"/>
      <c r="AC170" s="214"/>
      <c r="AD170" s="214"/>
      <c r="AE170" s="214"/>
      <c r="AF170" s="214"/>
      <c r="AG170" s="214"/>
      <c r="AH170" s="214"/>
      <c r="AI170" s="214"/>
      <c r="AJ170" s="214"/>
      <c r="AK170" s="214"/>
      <c r="AL170" s="214"/>
      <c r="AM170" s="214"/>
      <c r="AN170" s="214"/>
      <c r="AO170" s="214"/>
      <c r="AP170" s="214"/>
      <c r="AQ170" s="214"/>
      <c r="AR170" s="214"/>
      <c r="AS170" s="214"/>
      <c r="AT170" s="214"/>
      <c r="AU170" s="214"/>
      <c r="AV170" s="214"/>
      <c r="AW170" s="214"/>
      <c r="AX170" s="214"/>
      <c r="AY170" s="214"/>
      <c r="AZ170" s="214"/>
      <c r="BA170" s="214"/>
      <c r="BB170" s="214"/>
      <c r="BC170" s="214"/>
      <c r="BD170" s="214"/>
      <c r="BE170" s="214"/>
      <c r="BF170" s="214"/>
      <c r="BG170" s="214"/>
      <c r="BH170" s="214"/>
      <c r="BI170" s="214"/>
      <c r="BJ170" s="214"/>
      <c r="BK170" s="214"/>
      <c r="BL170" s="214"/>
      <c r="BM170" s="214"/>
      <c r="BN170" s="214"/>
      <c r="BO170" s="214"/>
      <c r="BP170" s="214"/>
      <c r="BQ170" s="214"/>
      <c r="BR170" s="214"/>
      <c r="BS170" s="214"/>
      <c r="BT170" s="214"/>
      <c r="BU170" s="214"/>
      <c r="BV170" s="214"/>
      <c r="BW170" s="214"/>
      <c r="BX170" s="214"/>
      <c r="BY170" s="214"/>
      <c r="BZ170" s="214"/>
      <c r="CA170" s="214"/>
    </row>
    <row r="171" spans="1:79" s="215" customFormat="1" ht="21" customHeight="1" x14ac:dyDescent="0.25">
      <c r="A171" s="117" t="s">
        <v>413</v>
      </c>
      <c r="B171" s="186" t="s">
        <v>28</v>
      </c>
      <c r="C171" s="186" t="s">
        <v>414</v>
      </c>
      <c r="D171" s="187" t="s">
        <v>415</v>
      </c>
      <c r="E171" s="23" t="s">
        <v>416</v>
      </c>
      <c r="F171" s="209"/>
      <c r="G171" s="210"/>
      <c r="H171" s="211"/>
      <c r="I171" s="212">
        <v>31</v>
      </c>
      <c r="J171" s="81"/>
      <c r="K171" s="213">
        <f t="shared" ref="K171" si="30">G171*I171</f>
        <v>0</v>
      </c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  <c r="AA171" s="214"/>
      <c r="AB171" s="214"/>
      <c r="AC171" s="214"/>
      <c r="AD171" s="214"/>
      <c r="AE171" s="214"/>
      <c r="AF171" s="214"/>
      <c r="AG171" s="214"/>
      <c r="AH171" s="214"/>
      <c r="AI171" s="214"/>
      <c r="AJ171" s="214"/>
      <c r="AK171" s="214"/>
      <c r="AL171" s="214"/>
      <c r="AM171" s="214"/>
      <c r="AN171" s="214"/>
      <c r="AO171" s="214"/>
      <c r="AP171" s="214"/>
      <c r="AQ171" s="214"/>
      <c r="AR171" s="214"/>
      <c r="AS171" s="214"/>
      <c r="AT171" s="214"/>
      <c r="AU171" s="214"/>
      <c r="AV171" s="214"/>
      <c r="AW171" s="214"/>
      <c r="AX171" s="214"/>
      <c r="AY171" s="214"/>
      <c r="AZ171" s="214"/>
      <c r="BA171" s="214"/>
      <c r="BB171" s="214"/>
      <c r="BC171" s="214"/>
      <c r="BD171" s="214"/>
      <c r="BE171" s="214"/>
      <c r="BF171" s="214"/>
      <c r="BG171" s="214"/>
      <c r="BH171" s="214"/>
      <c r="BI171" s="214"/>
      <c r="BJ171" s="214"/>
      <c r="BK171" s="214"/>
      <c r="BL171" s="214"/>
      <c r="BM171" s="214"/>
      <c r="BN171" s="214"/>
      <c r="BO171" s="214"/>
      <c r="BP171" s="214"/>
      <c r="BQ171" s="214"/>
      <c r="BR171" s="214"/>
      <c r="BS171" s="214"/>
      <c r="BT171" s="214"/>
      <c r="BU171" s="214"/>
      <c r="BV171" s="214"/>
      <c r="BW171" s="214"/>
      <c r="BX171" s="214"/>
      <c r="BY171" s="214"/>
      <c r="BZ171" s="214"/>
      <c r="CA171" s="214"/>
    </row>
    <row r="172" spans="1:79" s="215" customFormat="1" ht="21" customHeight="1" x14ac:dyDescent="0.25">
      <c r="A172" s="117" t="s">
        <v>417</v>
      </c>
      <c r="B172" s="186" t="s">
        <v>28</v>
      </c>
      <c r="C172" s="186" t="s">
        <v>66</v>
      </c>
      <c r="D172" s="187" t="s">
        <v>418</v>
      </c>
      <c r="E172" s="23" t="s">
        <v>419</v>
      </c>
      <c r="F172" s="209"/>
      <c r="G172" s="210"/>
      <c r="H172" s="211"/>
      <c r="I172" s="212">
        <v>135</v>
      </c>
      <c r="J172" s="81"/>
      <c r="K172" s="213">
        <f t="shared" si="24"/>
        <v>0</v>
      </c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14"/>
      <c r="X172" s="214"/>
      <c r="Y172" s="214"/>
      <c r="Z172" s="214"/>
      <c r="AA172" s="214"/>
      <c r="AB172" s="214"/>
      <c r="AC172" s="214"/>
      <c r="AD172" s="214"/>
      <c r="AE172" s="214"/>
      <c r="AF172" s="214"/>
      <c r="AG172" s="214"/>
      <c r="AH172" s="214"/>
      <c r="AI172" s="214"/>
      <c r="AJ172" s="214"/>
      <c r="AK172" s="214"/>
      <c r="AL172" s="214"/>
      <c r="AM172" s="214"/>
      <c r="AN172" s="214"/>
      <c r="AO172" s="214"/>
      <c r="AP172" s="214"/>
      <c r="AQ172" s="214"/>
      <c r="AR172" s="214"/>
      <c r="AS172" s="214"/>
      <c r="AT172" s="214"/>
      <c r="AU172" s="214"/>
      <c r="AV172" s="214"/>
      <c r="AW172" s="214"/>
      <c r="AX172" s="214"/>
      <c r="AY172" s="214"/>
      <c r="AZ172" s="214"/>
      <c r="BA172" s="214"/>
      <c r="BB172" s="214"/>
      <c r="BC172" s="214"/>
      <c r="BD172" s="214"/>
      <c r="BE172" s="214"/>
      <c r="BF172" s="214"/>
      <c r="BG172" s="214"/>
      <c r="BH172" s="214"/>
      <c r="BI172" s="214"/>
      <c r="BJ172" s="214"/>
      <c r="BK172" s="214"/>
      <c r="BL172" s="214"/>
      <c r="BM172" s="214"/>
      <c r="BN172" s="214"/>
      <c r="BO172" s="214"/>
      <c r="BP172" s="214"/>
      <c r="BQ172" s="214"/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</row>
    <row r="173" spans="1:79" s="215" customFormat="1" ht="21" customHeight="1" x14ac:dyDescent="0.25">
      <c r="A173" s="117" t="s">
        <v>420</v>
      </c>
      <c r="B173" s="186" t="s">
        <v>28</v>
      </c>
      <c r="C173" s="186" t="s">
        <v>66</v>
      </c>
      <c r="D173" s="187" t="s">
        <v>421</v>
      </c>
      <c r="E173" s="23" t="s">
        <v>422</v>
      </c>
      <c r="F173" s="209"/>
      <c r="G173" s="210"/>
      <c r="H173" s="211"/>
      <c r="I173" s="212">
        <v>115</v>
      </c>
      <c r="J173" s="81"/>
      <c r="K173" s="213">
        <f t="shared" si="24"/>
        <v>0</v>
      </c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14"/>
      <c r="X173" s="214"/>
      <c r="Y173" s="214"/>
      <c r="Z173" s="214"/>
      <c r="AA173" s="214"/>
      <c r="AB173" s="214"/>
      <c r="AC173" s="214"/>
      <c r="AD173" s="214"/>
      <c r="AE173" s="214"/>
      <c r="AF173" s="214"/>
      <c r="AG173" s="214"/>
      <c r="AH173" s="214"/>
      <c r="AI173" s="214"/>
      <c r="AJ173" s="214"/>
      <c r="AK173" s="214"/>
      <c r="AL173" s="214"/>
      <c r="AM173" s="214"/>
      <c r="AN173" s="214"/>
      <c r="AO173" s="214"/>
      <c r="AP173" s="214"/>
      <c r="AQ173" s="214"/>
      <c r="AR173" s="214"/>
      <c r="AS173" s="214"/>
      <c r="AT173" s="214"/>
      <c r="AU173" s="214"/>
      <c r="AV173" s="214"/>
      <c r="AW173" s="214"/>
      <c r="AX173" s="214"/>
      <c r="AY173" s="214"/>
      <c r="AZ173" s="214"/>
      <c r="BA173" s="214"/>
      <c r="BB173" s="214"/>
      <c r="BC173" s="214"/>
      <c r="BD173" s="214"/>
      <c r="BE173" s="214"/>
      <c r="BF173" s="214"/>
      <c r="BG173" s="214"/>
      <c r="BH173" s="214"/>
      <c r="BI173" s="214"/>
      <c r="BJ173" s="214"/>
      <c r="BK173" s="214"/>
      <c r="BL173" s="214"/>
      <c r="BM173" s="214"/>
      <c r="BN173" s="214"/>
      <c r="BO173" s="214"/>
      <c r="BP173" s="214"/>
      <c r="BQ173" s="214"/>
      <c r="BR173" s="214"/>
      <c r="BS173" s="214"/>
      <c r="BT173" s="214"/>
      <c r="BU173" s="214"/>
      <c r="BV173" s="214"/>
      <c r="BW173" s="214"/>
      <c r="BX173" s="214"/>
      <c r="BY173" s="214"/>
      <c r="BZ173" s="214"/>
      <c r="CA173" s="214"/>
    </row>
    <row r="174" spans="1:79" s="215" customFormat="1" ht="21" customHeight="1" x14ac:dyDescent="0.25">
      <c r="A174" s="117" t="s">
        <v>423</v>
      </c>
      <c r="B174" s="186" t="s">
        <v>187</v>
      </c>
      <c r="C174" s="186" t="s">
        <v>382</v>
      </c>
      <c r="D174" s="187" t="s">
        <v>424</v>
      </c>
      <c r="E174" s="23" t="s">
        <v>425</v>
      </c>
      <c r="F174" s="209"/>
      <c r="G174" s="210"/>
      <c r="H174" s="211"/>
      <c r="I174" s="212">
        <v>45</v>
      </c>
      <c r="J174" s="81" t="s">
        <v>32</v>
      </c>
      <c r="K174" s="213">
        <f t="shared" si="24"/>
        <v>0</v>
      </c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  <c r="W174" s="214"/>
      <c r="X174" s="214"/>
      <c r="Y174" s="214"/>
      <c r="Z174" s="214"/>
      <c r="AA174" s="214"/>
      <c r="AB174" s="214"/>
      <c r="AC174" s="214"/>
      <c r="AD174" s="214"/>
      <c r="AE174" s="214"/>
      <c r="AF174" s="214"/>
      <c r="AG174" s="214"/>
      <c r="AH174" s="214"/>
      <c r="AI174" s="214"/>
      <c r="AJ174" s="214"/>
      <c r="AK174" s="214"/>
      <c r="AL174" s="214"/>
      <c r="AM174" s="214"/>
      <c r="AN174" s="214"/>
      <c r="AO174" s="214"/>
      <c r="AP174" s="214"/>
      <c r="AQ174" s="214"/>
      <c r="AR174" s="214"/>
      <c r="AS174" s="214"/>
      <c r="AT174" s="214"/>
      <c r="AU174" s="214"/>
      <c r="AV174" s="214"/>
      <c r="AW174" s="214"/>
      <c r="AX174" s="214"/>
      <c r="AY174" s="214"/>
      <c r="AZ174" s="214"/>
      <c r="BA174" s="214"/>
      <c r="BB174" s="214"/>
      <c r="BC174" s="214"/>
      <c r="BD174" s="214"/>
      <c r="BE174" s="214"/>
      <c r="BF174" s="214"/>
      <c r="BG174" s="214"/>
      <c r="BH174" s="214"/>
      <c r="BI174" s="214"/>
      <c r="BJ174" s="214"/>
      <c r="BK174" s="214"/>
      <c r="BL174" s="214"/>
      <c r="BM174" s="214"/>
      <c r="BN174" s="214"/>
      <c r="BO174" s="214"/>
      <c r="BP174" s="214"/>
      <c r="BQ174" s="214"/>
      <c r="BR174" s="214"/>
      <c r="BS174" s="214"/>
      <c r="BT174" s="214"/>
      <c r="BU174" s="214"/>
      <c r="BV174" s="214"/>
      <c r="BW174" s="214"/>
      <c r="BX174" s="214"/>
      <c r="BY174" s="214"/>
      <c r="BZ174" s="214"/>
      <c r="CA174" s="214"/>
    </row>
    <row r="175" spans="1:79" s="215" customFormat="1" ht="21" customHeight="1" x14ac:dyDescent="0.25">
      <c r="A175" s="117" t="s">
        <v>1268</v>
      </c>
      <c r="B175" s="186" t="s">
        <v>187</v>
      </c>
      <c r="C175" s="186" t="s">
        <v>1269</v>
      </c>
      <c r="D175" s="187" t="s">
        <v>451</v>
      </c>
      <c r="E175" s="23" t="s">
        <v>1270</v>
      </c>
      <c r="F175" s="209"/>
      <c r="G175" s="210"/>
      <c r="H175" s="211"/>
      <c r="I175" s="212">
        <v>67</v>
      </c>
      <c r="J175" s="81"/>
      <c r="K175" s="213">
        <f>G175*I175</f>
        <v>0</v>
      </c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4"/>
      <c r="Y175" s="214"/>
      <c r="Z175" s="214"/>
      <c r="AA175" s="214"/>
      <c r="AB175" s="214"/>
      <c r="AC175" s="214"/>
      <c r="AD175" s="214"/>
      <c r="AE175" s="214"/>
      <c r="AF175" s="214"/>
      <c r="AG175" s="214"/>
      <c r="AH175" s="214"/>
      <c r="AI175" s="214"/>
      <c r="AJ175" s="214"/>
      <c r="AK175" s="214"/>
      <c r="AL175" s="214"/>
      <c r="AM175" s="214"/>
      <c r="AN175" s="214"/>
      <c r="AO175" s="214"/>
      <c r="AP175" s="214"/>
      <c r="AQ175" s="214"/>
      <c r="AR175" s="214"/>
      <c r="AS175" s="214"/>
      <c r="AT175" s="214"/>
      <c r="AU175" s="214"/>
      <c r="AV175" s="214"/>
      <c r="AW175" s="214"/>
      <c r="AX175" s="214"/>
      <c r="AY175" s="214"/>
      <c r="AZ175" s="214"/>
      <c r="BA175" s="214"/>
      <c r="BB175" s="214"/>
      <c r="BC175" s="214"/>
      <c r="BD175" s="214"/>
      <c r="BE175" s="214"/>
      <c r="BF175" s="214"/>
      <c r="BG175" s="214"/>
      <c r="BH175" s="214"/>
      <c r="BI175" s="214"/>
      <c r="BJ175" s="214"/>
      <c r="BK175" s="214"/>
      <c r="BL175" s="214"/>
      <c r="BM175" s="214"/>
      <c r="BN175" s="214"/>
      <c r="BO175" s="214"/>
      <c r="BP175" s="214"/>
      <c r="BQ175" s="214"/>
      <c r="BR175" s="214"/>
      <c r="BS175" s="214"/>
      <c r="BT175" s="214"/>
      <c r="BU175" s="214"/>
      <c r="BV175" s="214"/>
      <c r="BW175" s="214"/>
      <c r="BX175" s="214"/>
      <c r="BY175" s="214"/>
      <c r="BZ175" s="214"/>
      <c r="CA175" s="214"/>
    </row>
    <row r="176" spans="1:79" s="215" customFormat="1" ht="21" customHeight="1" x14ac:dyDescent="0.25">
      <c r="A176" s="117" t="s">
        <v>426</v>
      </c>
      <c r="B176" s="186" t="s">
        <v>28</v>
      </c>
      <c r="C176" s="186" t="s">
        <v>332</v>
      </c>
      <c r="D176" s="187" t="s">
        <v>408</v>
      </c>
      <c r="E176" s="23" t="s">
        <v>427</v>
      </c>
      <c r="F176" s="209"/>
      <c r="G176" s="210"/>
      <c r="H176" s="211"/>
      <c r="I176" s="212">
        <v>74</v>
      </c>
      <c r="J176" s="81"/>
      <c r="K176" s="213">
        <f t="shared" si="24"/>
        <v>0</v>
      </c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  <c r="X176" s="214"/>
      <c r="Y176" s="214"/>
      <c r="Z176" s="214"/>
      <c r="AA176" s="214"/>
      <c r="AB176" s="214"/>
      <c r="AC176" s="214"/>
      <c r="AD176" s="214"/>
      <c r="AE176" s="214"/>
      <c r="AF176" s="214"/>
      <c r="AG176" s="214"/>
      <c r="AH176" s="214"/>
      <c r="AI176" s="214"/>
      <c r="AJ176" s="214"/>
      <c r="AK176" s="214"/>
      <c r="AL176" s="214"/>
      <c r="AM176" s="214"/>
      <c r="AN176" s="214"/>
      <c r="AO176" s="214"/>
      <c r="AP176" s="214"/>
      <c r="AQ176" s="214"/>
      <c r="AR176" s="214"/>
      <c r="AS176" s="214"/>
      <c r="AT176" s="214"/>
      <c r="AU176" s="214"/>
      <c r="AV176" s="214"/>
      <c r="AW176" s="214"/>
      <c r="AX176" s="214"/>
      <c r="AY176" s="214"/>
      <c r="AZ176" s="214"/>
      <c r="BA176" s="214"/>
      <c r="BB176" s="214"/>
      <c r="BC176" s="214"/>
      <c r="BD176" s="214"/>
      <c r="BE176" s="214"/>
      <c r="BF176" s="214"/>
      <c r="BG176" s="214"/>
      <c r="BH176" s="214"/>
      <c r="BI176" s="214"/>
      <c r="BJ176" s="214"/>
      <c r="BK176" s="214"/>
      <c r="BL176" s="214"/>
      <c r="BM176" s="214"/>
      <c r="BN176" s="214"/>
      <c r="BO176" s="214"/>
      <c r="BP176" s="214"/>
      <c r="BQ176" s="214"/>
      <c r="BR176" s="214"/>
      <c r="BS176" s="214"/>
      <c r="BT176" s="214"/>
      <c r="BU176" s="214"/>
      <c r="BV176" s="214"/>
      <c r="BW176" s="214"/>
      <c r="BX176" s="214"/>
      <c r="BY176" s="214"/>
      <c r="BZ176" s="214"/>
      <c r="CA176" s="214"/>
    </row>
    <row r="177" spans="1:79" s="215" customFormat="1" ht="21" customHeight="1" x14ac:dyDescent="0.25">
      <c r="A177" s="117" t="s">
        <v>428</v>
      </c>
      <c r="B177" s="186" t="s">
        <v>28</v>
      </c>
      <c r="C177" s="186" t="s">
        <v>332</v>
      </c>
      <c r="D177" s="187" t="s">
        <v>408</v>
      </c>
      <c r="E177" s="23" t="s">
        <v>429</v>
      </c>
      <c r="F177" s="209"/>
      <c r="G177" s="210"/>
      <c r="H177" s="211"/>
      <c r="I177" s="212">
        <v>52</v>
      </c>
      <c r="J177" s="81"/>
      <c r="K177" s="213">
        <f t="shared" ref="K177" si="31">G177*I177</f>
        <v>0</v>
      </c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  <c r="X177" s="214"/>
      <c r="Y177" s="214"/>
      <c r="Z177" s="214"/>
      <c r="AA177" s="214"/>
      <c r="AB177" s="214"/>
      <c r="AC177" s="214"/>
      <c r="AD177" s="214"/>
      <c r="AE177" s="214"/>
      <c r="AF177" s="214"/>
      <c r="AG177" s="214"/>
      <c r="AH177" s="214"/>
      <c r="AI177" s="214"/>
      <c r="AJ177" s="214"/>
      <c r="AK177" s="214"/>
      <c r="AL177" s="214"/>
      <c r="AM177" s="214"/>
      <c r="AN177" s="214"/>
      <c r="AO177" s="214"/>
      <c r="AP177" s="214"/>
      <c r="AQ177" s="214"/>
      <c r="AR177" s="214"/>
      <c r="AS177" s="214"/>
      <c r="AT177" s="214"/>
      <c r="AU177" s="214"/>
      <c r="AV177" s="214"/>
      <c r="AW177" s="214"/>
      <c r="AX177" s="214"/>
      <c r="AY177" s="214"/>
      <c r="AZ177" s="214"/>
      <c r="BA177" s="214"/>
      <c r="BB177" s="214"/>
      <c r="BC177" s="214"/>
      <c r="BD177" s="214"/>
      <c r="BE177" s="214"/>
      <c r="BF177" s="214"/>
      <c r="BG177" s="214"/>
      <c r="BH177" s="214"/>
      <c r="BI177" s="214"/>
      <c r="BJ177" s="214"/>
      <c r="BK177" s="214"/>
      <c r="BL177" s="214"/>
      <c r="BM177" s="214"/>
      <c r="BN177" s="214"/>
      <c r="BO177" s="214"/>
      <c r="BP177" s="214"/>
      <c r="BQ177" s="214"/>
      <c r="BR177" s="214"/>
      <c r="BS177" s="214"/>
      <c r="BT177" s="214"/>
      <c r="BU177" s="214"/>
      <c r="BV177" s="214"/>
      <c r="BW177" s="214"/>
      <c r="BX177" s="214"/>
      <c r="BY177" s="214"/>
      <c r="BZ177" s="214"/>
      <c r="CA177" s="214"/>
    </row>
    <row r="178" spans="1:79" s="215" customFormat="1" ht="21" customHeight="1" x14ac:dyDescent="0.25">
      <c r="A178" s="117" t="s">
        <v>430</v>
      </c>
      <c r="B178" s="186" t="s">
        <v>28</v>
      </c>
      <c r="C178" s="186" t="s">
        <v>332</v>
      </c>
      <c r="D178" s="187" t="s">
        <v>431</v>
      </c>
      <c r="E178" s="23" t="s">
        <v>432</v>
      </c>
      <c r="F178" s="209"/>
      <c r="G178" s="210"/>
      <c r="H178" s="211"/>
      <c r="I178" s="212">
        <v>40</v>
      </c>
      <c r="J178" s="81"/>
      <c r="K178" s="213">
        <f t="shared" si="24"/>
        <v>0</v>
      </c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  <c r="X178" s="214"/>
      <c r="Y178" s="214"/>
      <c r="Z178" s="214"/>
      <c r="AA178" s="214"/>
      <c r="AB178" s="214"/>
      <c r="AC178" s="214"/>
      <c r="AD178" s="214"/>
      <c r="AE178" s="214"/>
      <c r="AF178" s="214"/>
      <c r="AG178" s="214"/>
      <c r="AH178" s="214"/>
      <c r="AI178" s="214"/>
      <c r="AJ178" s="214"/>
      <c r="AK178" s="214"/>
      <c r="AL178" s="214"/>
      <c r="AM178" s="214"/>
      <c r="AN178" s="214"/>
      <c r="AO178" s="214"/>
      <c r="AP178" s="214"/>
      <c r="AQ178" s="214"/>
      <c r="AR178" s="214"/>
      <c r="AS178" s="214"/>
      <c r="AT178" s="214"/>
      <c r="AU178" s="214"/>
      <c r="AV178" s="214"/>
      <c r="AW178" s="214"/>
      <c r="AX178" s="214"/>
      <c r="AY178" s="214"/>
      <c r="AZ178" s="214"/>
      <c r="BA178" s="214"/>
      <c r="BB178" s="214"/>
      <c r="BC178" s="214"/>
      <c r="BD178" s="214"/>
      <c r="BE178" s="214"/>
      <c r="BF178" s="214"/>
      <c r="BG178" s="214"/>
      <c r="BH178" s="214"/>
      <c r="BI178" s="214"/>
      <c r="BJ178" s="214"/>
      <c r="BK178" s="214"/>
      <c r="BL178" s="214"/>
      <c r="BM178" s="214"/>
      <c r="BN178" s="214"/>
      <c r="BO178" s="214"/>
      <c r="BP178" s="214"/>
      <c r="BQ178" s="214"/>
      <c r="BR178" s="214"/>
      <c r="BS178" s="214"/>
      <c r="BT178" s="214"/>
      <c r="BU178" s="214"/>
      <c r="BV178" s="214"/>
      <c r="BW178" s="214"/>
      <c r="BX178" s="214"/>
      <c r="BY178" s="214"/>
      <c r="BZ178" s="214"/>
      <c r="CA178" s="214"/>
    </row>
    <row r="179" spans="1:79" s="215" customFormat="1" ht="21" customHeight="1" x14ac:dyDescent="0.25">
      <c r="A179" s="117" t="s">
        <v>433</v>
      </c>
      <c r="B179" s="186" t="s">
        <v>28</v>
      </c>
      <c r="C179" s="186" t="s">
        <v>105</v>
      </c>
      <c r="D179" s="187" t="s">
        <v>415</v>
      </c>
      <c r="E179" s="23" t="s">
        <v>434</v>
      </c>
      <c r="F179" s="209"/>
      <c r="G179" s="210"/>
      <c r="H179" s="211"/>
      <c r="I179" s="212">
        <v>115</v>
      </c>
      <c r="J179" s="81"/>
      <c r="K179" s="213">
        <f t="shared" si="24"/>
        <v>0</v>
      </c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  <c r="X179" s="214"/>
      <c r="Y179" s="214"/>
      <c r="Z179" s="214"/>
      <c r="AA179" s="214"/>
      <c r="AB179" s="214"/>
      <c r="AC179" s="214"/>
      <c r="AD179" s="214"/>
      <c r="AE179" s="214"/>
      <c r="AF179" s="214"/>
      <c r="AG179" s="214"/>
      <c r="AH179" s="214"/>
      <c r="AI179" s="214"/>
      <c r="AJ179" s="214"/>
      <c r="AK179" s="214"/>
      <c r="AL179" s="214"/>
      <c r="AM179" s="214"/>
      <c r="AN179" s="214"/>
      <c r="AO179" s="214"/>
      <c r="AP179" s="214"/>
      <c r="AQ179" s="214"/>
      <c r="AR179" s="214"/>
      <c r="AS179" s="214"/>
      <c r="AT179" s="214"/>
      <c r="AU179" s="214"/>
      <c r="AV179" s="214"/>
      <c r="AW179" s="214"/>
      <c r="AX179" s="214"/>
      <c r="AY179" s="214"/>
      <c r="AZ179" s="214"/>
      <c r="BA179" s="214"/>
      <c r="BB179" s="214"/>
      <c r="BC179" s="214"/>
      <c r="BD179" s="214"/>
      <c r="BE179" s="214"/>
      <c r="BF179" s="214"/>
      <c r="BG179" s="214"/>
      <c r="BH179" s="214"/>
      <c r="BI179" s="214"/>
      <c r="BJ179" s="214"/>
      <c r="BK179" s="214"/>
      <c r="BL179" s="214"/>
      <c r="BM179" s="214"/>
      <c r="BN179" s="214"/>
      <c r="BO179" s="214"/>
      <c r="BP179" s="214"/>
      <c r="BQ179" s="214"/>
      <c r="BR179" s="214"/>
      <c r="BS179" s="214"/>
      <c r="BT179" s="214"/>
      <c r="BU179" s="214"/>
      <c r="BV179" s="214"/>
      <c r="BW179" s="214"/>
      <c r="BX179" s="214"/>
      <c r="BY179" s="214"/>
      <c r="BZ179" s="214"/>
      <c r="CA179" s="214"/>
    </row>
    <row r="180" spans="1:79" s="215" customFormat="1" ht="21" customHeight="1" x14ac:dyDescent="0.25">
      <c r="A180" s="117" t="s">
        <v>435</v>
      </c>
      <c r="B180" s="186" t="s">
        <v>28</v>
      </c>
      <c r="C180" s="186" t="s">
        <v>105</v>
      </c>
      <c r="D180" s="187" t="s">
        <v>415</v>
      </c>
      <c r="E180" s="23" t="s">
        <v>436</v>
      </c>
      <c r="F180" s="209"/>
      <c r="G180" s="210"/>
      <c r="H180" s="211"/>
      <c r="I180" s="212">
        <v>60</v>
      </c>
      <c r="J180" s="81"/>
      <c r="K180" s="213">
        <f t="shared" si="24"/>
        <v>0</v>
      </c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  <c r="Y180" s="214"/>
      <c r="Z180" s="214"/>
      <c r="AA180" s="214"/>
      <c r="AB180" s="214"/>
      <c r="AC180" s="214"/>
      <c r="AD180" s="214"/>
      <c r="AE180" s="214"/>
      <c r="AF180" s="214"/>
      <c r="AG180" s="214"/>
      <c r="AH180" s="214"/>
      <c r="AI180" s="214"/>
      <c r="AJ180" s="214"/>
      <c r="AK180" s="214"/>
      <c r="AL180" s="214"/>
      <c r="AM180" s="214"/>
      <c r="AN180" s="214"/>
      <c r="AO180" s="214"/>
      <c r="AP180" s="214"/>
      <c r="AQ180" s="214"/>
      <c r="AR180" s="214"/>
      <c r="AS180" s="214"/>
      <c r="AT180" s="214"/>
      <c r="AU180" s="214"/>
      <c r="AV180" s="214"/>
      <c r="AW180" s="214"/>
      <c r="AX180" s="214"/>
      <c r="AY180" s="214"/>
      <c r="AZ180" s="214"/>
      <c r="BA180" s="214"/>
      <c r="BB180" s="214"/>
      <c r="BC180" s="214"/>
      <c r="BD180" s="214"/>
      <c r="BE180" s="214"/>
      <c r="BF180" s="214"/>
      <c r="BG180" s="214"/>
      <c r="BH180" s="214"/>
      <c r="BI180" s="214"/>
      <c r="BJ180" s="214"/>
      <c r="BK180" s="214"/>
      <c r="BL180" s="214"/>
      <c r="BM180" s="214"/>
      <c r="BN180" s="214"/>
      <c r="BO180" s="214"/>
      <c r="BP180" s="214"/>
      <c r="BQ180" s="214"/>
      <c r="BR180" s="214"/>
      <c r="BS180" s="214"/>
      <c r="BT180" s="214"/>
      <c r="BU180" s="214"/>
      <c r="BV180" s="214"/>
      <c r="BW180" s="214"/>
      <c r="BX180" s="214"/>
      <c r="BY180" s="214"/>
      <c r="BZ180" s="214"/>
      <c r="CA180" s="214"/>
    </row>
    <row r="181" spans="1:79" s="215" customFormat="1" ht="21" customHeight="1" x14ac:dyDescent="0.25">
      <c r="A181" s="117" t="s">
        <v>437</v>
      </c>
      <c r="B181" s="186" t="s">
        <v>187</v>
      </c>
      <c r="C181" s="186" t="s">
        <v>105</v>
      </c>
      <c r="D181" s="187" t="s">
        <v>408</v>
      </c>
      <c r="E181" s="23" t="s">
        <v>438</v>
      </c>
      <c r="F181" s="209"/>
      <c r="G181" s="210"/>
      <c r="H181" s="211"/>
      <c r="I181" s="212">
        <v>40</v>
      </c>
      <c r="J181" s="81" t="s">
        <v>439</v>
      </c>
      <c r="K181" s="213">
        <f t="shared" si="24"/>
        <v>0</v>
      </c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  <c r="AA181" s="214"/>
      <c r="AB181" s="214"/>
      <c r="AC181" s="214"/>
      <c r="AD181" s="214"/>
      <c r="AE181" s="214"/>
      <c r="AF181" s="214"/>
      <c r="AG181" s="214"/>
      <c r="AH181" s="214"/>
      <c r="AI181" s="214"/>
      <c r="AJ181" s="214"/>
      <c r="AK181" s="214"/>
      <c r="AL181" s="214"/>
      <c r="AM181" s="214"/>
      <c r="AN181" s="214"/>
      <c r="AO181" s="214"/>
      <c r="AP181" s="214"/>
      <c r="AQ181" s="214"/>
      <c r="AR181" s="214"/>
      <c r="AS181" s="214"/>
      <c r="AT181" s="214"/>
      <c r="AU181" s="214"/>
      <c r="AV181" s="214"/>
      <c r="AW181" s="214"/>
      <c r="AX181" s="214"/>
      <c r="AY181" s="214"/>
      <c r="AZ181" s="214"/>
      <c r="BA181" s="214"/>
      <c r="BB181" s="214"/>
      <c r="BC181" s="214"/>
      <c r="BD181" s="214"/>
      <c r="BE181" s="214"/>
      <c r="BF181" s="214"/>
      <c r="BG181" s="214"/>
      <c r="BH181" s="214"/>
      <c r="BI181" s="214"/>
      <c r="BJ181" s="214"/>
      <c r="BK181" s="214"/>
      <c r="BL181" s="214"/>
      <c r="BM181" s="214"/>
      <c r="BN181" s="214"/>
      <c r="BO181" s="214"/>
      <c r="BP181" s="214"/>
      <c r="BQ181" s="214"/>
      <c r="BR181" s="214"/>
      <c r="BS181" s="214"/>
      <c r="BT181" s="214"/>
      <c r="BU181" s="214"/>
      <c r="BV181" s="214"/>
      <c r="BW181" s="214"/>
      <c r="BX181" s="214"/>
      <c r="BY181" s="214"/>
      <c r="BZ181" s="214"/>
      <c r="CA181" s="214"/>
    </row>
    <row r="182" spans="1:79" s="215" customFormat="1" ht="21" customHeight="1" x14ac:dyDescent="0.25">
      <c r="A182" s="117" t="s">
        <v>440</v>
      </c>
      <c r="B182" s="186" t="s">
        <v>28</v>
      </c>
      <c r="C182" s="186" t="s">
        <v>332</v>
      </c>
      <c r="D182" s="187" t="s">
        <v>441</v>
      </c>
      <c r="E182" s="23" t="s">
        <v>442</v>
      </c>
      <c r="F182" s="209"/>
      <c r="G182" s="210"/>
      <c r="H182" s="211"/>
      <c r="I182" s="212">
        <v>60</v>
      </c>
      <c r="J182" s="81"/>
      <c r="K182" s="213">
        <f t="shared" si="24"/>
        <v>0</v>
      </c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214"/>
      <c r="AD182" s="214"/>
      <c r="AE182" s="214"/>
      <c r="AF182" s="214"/>
      <c r="AG182" s="214"/>
      <c r="AH182" s="214"/>
      <c r="AI182" s="214"/>
      <c r="AJ182" s="214"/>
      <c r="AK182" s="214"/>
      <c r="AL182" s="214"/>
      <c r="AM182" s="214"/>
      <c r="AN182" s="214"/>
      <c r="AO182" s="214"/>
      <c r="AP182" s="214"/>
      <c r="AQ182" s="214"/>
      <c r="AR182" s="214"/>
      <c r="AS182" s="214"/>
      <c r="AT182" s="214"/>
      <c r="AU182" s="214"/>
      <c r="AV182" s="214"/>
      <c r="AW182" s="214"/>
      <c r="AX182" s="214"/>
      <c r="AY182" s="214"/>
      <c r="AZ182" s="214"/>
      <c r="BA182" s="214"/>
      <c r="BB182" s="214"/>
      <c r="BC182" s="214"/>
      <c r="BD182" s="214"/>
      <c r="BE182" s="214"/>
      <c r="BF182" s="214"/>
      <c r="BG182" s="214"/>
      <c r="BH182" s="214"/>
      <c r="BI182" s="214"/>
      <c r="BJ182" s="214"/>
      <c r="BK182" s="214"/>
      <c r="BL182" s="214"/>
      <c r="BM182" s="214"/>
      <c r="BN182" s="214"/>
      <c r="BO182" s="214"/>
      <c r="BP182" s="214"/>
      <c r="BQ182" s="214"/>
      <c r="BR182" s="214"/>
      <c r="BS182" s="214"/>
      <c r="BT182" s="214"/>
      <c r="BU182" s="214"/>
      <c r="BV182" s="214"/>
      <c r="BW182" s="214"/>
      <c r="BX182" s="214"/>
      <c r="BY182" s="214"/>
      <c r="BZ182" s="214"/>
      <c r="CA182" s="214"/>
    </row>
    <row r="183" spans="1:79" s="215" customFormat="1" ht="21" customHeight="1" x14ac:dyDescent="0.25">
      <c r="A183" s="117" t="s">
        <v>443</v>
      </c>
      <c r="B183" s="186" t="s">
        <v>28</v>
      </c>
      <c r="C183" s="186" t="s">
        <v>332</v>
      </c>
      <c r="D183" s="187" t="s">
        <v>444</v>
      </c>
      <c r="E183" s="23" t="s">
        <v>445</v>
      </c>
      <c r="F183" s="209"/>
      <c r="G183" s="210"/>
      <c r="H183" s="211"/>
      <c r="I183" s="212">
        <v>80</v>
      </c>
      <c r="J183" s="81"/>
      <c r="K183" s="213">
        <f t="shared" si="24"/>
        <v>0</v>
      </c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  <c r="X183" s="214"/>
      <c r="Y183" s="214"/>
      <c r="Z183" s="214"/>
      <c r="AA183" s="214"/>
      <c r="AB183" s="214"/>
      <c r="AC183" s="214"/>
      <c r="AD183" s="214"/>
      <c r="AE183" s="214"/>
      <c r="AF183" s="214"/>
      <c r="AG183" s="214"/>
      <c r="AH183" s="214"/>
      <c r="AI183" s="214"/>
      <c r="AJ183" s="214"/>
      <c r="AK183" s="214"/>
      <c r="AL183" s="214"/>
      <c r="AM183" s="214"/>
      <c r="AN183" s="214"/>
      <c r="AO183" s="214"/>
      <c r="AP183" s="214"/>
      <c r="AQ183" s="214"/>
      <c r="AR183" s="214"/>
      <c r="AS183" s="214"/>
      <c r="AT183" s="214"/>
      <c r="AU183" s="214"/>
      <c r="AV183" s="214"/>
      <c r="AW183" s="214"/>
      <c r="AX183" s="214"/>
      <c r="AY183" s="214"/>
      <c r="AZ183" s="214"/>
      <c r="BA183" s="214"/>
      <c r="BB183" s="214"/>
      <c r="BC183" s="214"/>
      <c r="BD183" s="214"/>
      <c r="BE183" s="214"/>
      <c r="BF183" s="214"/>
      <c r="BG183" s="214"/>
      <c r="BH183" s="214"/>
      <c r="BI183" s="214"/>
      <c r="BJ183" s="214"/>
      <c r="BK183" s="214"/>
      <c r="BL183" s="214"/>
      <c r="BM183" s="214"/>
      <c r="BN183" s="214"/>
      <c r="BO183" s="214"/>
      <c r="BP183" s="214"/>
      <c r="BQ183" s="214"/>
      <c r="BR183" s="214"/>
      <c r="BS183" s="214"/>
      <c r="BT183" s="214"/>
      <c r="BU183" s="214"/>
      <c r="BV183" s="214"/>
      <c r="BW183" s="214"/>
      <c r="BX183" s="214"/>
      <c r="BY183" s="214"/>
      <c r="BZ183" s="214"/>
      <c r="CA183" s="214"/>
    </row>
    <row r="184" spans="1:79" s="215" customFormat="1" ht="21" customHeight="1" x14ac:dyDescent="0.25">
      <c r="A184" s="117" t="s">
        <v>446</v>
      </c>
      <c r="B184" s="186" t="s">
        <v>28</v>
      </c>
      <c r="C184" s="186" t="s">
        <v>332</v>
      </c>
      <c r="D184" s="187" t="s">
        <v>444</v>
      </c>
      <c r="E184" s="23" t="s">
        <v>447</v>
      </c>
      <c r="F184" s="209"/>
      <c r="G184" s="210"/>
      <c r="H184" s="211"/>
      <c r="I184" s="212">
        <v>62</v>
      </c>
      <c r="J184" s="81"/>
      <c r="K184" s="213">
        <f t="shared" ref="K184" si="32">G184*I184</f>
        <v>0</v>
      </c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  <c r="X184" s="214"/>
      <c r="Y184" s="214"/>
      <c r="Z184" s="214"/>
      <c r="AA184" s="214"/>
      <c r="AB184" s="214"/>
      <c r="AC184" s="214"/>
      <c r="AD184" s="214"/>
      <c r="AE184" s="214"/>
      <c r="AF184" s="214"/>
      <c r="AG184" s="214"/>
      <c r="AH184" s="214"/>
      <c r="AI184" s="214"/>
      <c r="AJ184" s="214"/>
      <c r="AK184" s="214"/>
      <c r="AL184" s="214"/>
      <c r="AM184" s="214"/>
      <c r="AN184" s="214"/>
      <c r="AO184" s="214"/>
      <c r="AP184" s="214"/>
      <c r="AQ184" s="214"/>
      <c r="AR184" s="214"/>
      <c r="AS184" s="214"/>
      <c r="AT184" s="214"/>
      <c r="AU184" s="214"/>
      <c r="AV184" s="214"/>
      <c r="AW184" s="214"/>
      <c r="AX184" s="214"/>
      <c r="AY184" s="214"/>
      <c r="AZ184" s="214"/>
      <c r="BA184" s="214"/>
      <c r="BB184" s="214"/>
      <c r="BC184" s="214"/>
      <c r="BD184" s="214"/>
      <c r="BE184" s="214"/>
      <c r="BF184" s="214"/>
      <c r="BG184" s="214"/>
      <c r="BH184" s="214"/>
      <c r="BI184" s="214"/>
      <c r="BJ184" s="214"/>
      <c r="BK184" s="214"/>
      <c r="BL184" s="214"/>
      <c r="BM184" s="214"/>
      <c r="BN184" s="214"/>
      <c r="BO184" s="214"/>
      <c r="BP184" s="214"/>
      <c r="BQ184" s="214"/>
      <c r="BR184" s="214"/>
      <c r="BS184" s="214"/>
      <c r="BT184" s="214"/>
      <c r="BU184" s="214"/>
      <c r="BV184" s="214"/>
      <c r="BW184" s="214"/>
      <c r="BX184" s="214"/>
      <c r="BY184" s="214"/>
      <c r="BZ184" s="214"/>
      <c r="CA184" s="214"/>
    </row>
    <row r="185" spans="1:79" s="215" customFormat="1" ht="21" customHeight="1" x14ac:dyDescent="0.25">
      <c r="A185" s="117" t="s">
        <v>448</v>
      </c>
      <c r="B185" s="186" t="s">
        <v>45</v>
      </c>
      <c r="C185" s="186" t="s">
        <v>172</v>
      </c>
      <c r="D185" s="187" t="s">
        <v>441</v>
      </c>
      <c r="E185" s="23" t="s">
        <v>449</v>
      </c>
      <c r="F185" s="209"/>
      <c r="G185" s="210"/>
      <c r="H185" s="211"/>
      <c r="I185" s="212">
        <v>2.5</v>
      </c>
      <c r="J185" s="81" t="s">
        <v>25</v>
      </c>
      <c r="K185" s="213">
        <f t="shared" si="24"/>
        <v>0</v>
      </c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  <c r="Y185" s="214"/>
      <c r="Z185" s="214"/>
      <c r="AA185" s="214"/>
      <c r="AB185" s="214"/>
      <c r="AC185" s="214"/>
      <c r="AD185" s="214"/>
      <c r="AE185" s="214"/>
      <c r="AF185" s="214"/>
      <c r="AG185" s="214"/>
      <c r="AH185" s="214"/>
      <c r="AI185" s="214"/>
      <c r="AJ185" s="214"/>
      <c r="AK185" s="214"/>
      <c r="AL185" s="214"/>
      <c r="AM185" s="214"/>
      <c r="AN185" s="214"/>
      <c r="AO185" s="214"/>
      <c r="AP185" s="214"/>
      <c r="AQ185" s="214"/>
      <c r="AR185" s="214"/>
      <c r="AS185" s="214"/>
      <c r="AT185" s="214"/>
      <c r="AU185" s="214"/>
      <c r="AV185" s="214"/>
      <c r="AW185" s="214"/>
      <c r="AX185" s="214"/>
      <c r="AY185" s="214"/>
      <c r="AZ185" s="214"/>
      <c r="BA185" s="214"/>
      <c r="BB185" s="214"/>
      <c r="BC185" s="214"/>
      <c r="BD185" s="214"/>
      <c r="BE185" s="214"/>
      <c r="BF185" s="214"/>
      <c r="BG185" s="214"/>
      <c r="BH185" s="214"/>
      <c r="BI185" s="214"/>
      <c r="BJ185" s="214"/>
      <c r="BK185" s="214"/>
      <c r="BL185" s="214"/>
      <c r="BM185" s="214"/>
      <c r="BN185" s="214"/>
      <c r="BO185" s="214"/>
      <c r="BP185" s="214"/>
      <c r="BQ185" s="214"/>
      <c r="BR185" s="214"/>
      <c r="BS185" s="214"/>
      <c r="BT185" s="214"/>
      <c r="BU185" s="214"/>
      <c r="BV185" s="214"/>
      <c r="BW185" s="214"/>
      <c r="BX185" s="214"/>
      <c r="BY185" s="214"/>
      <c r="BZ185" s="214"/>
      <c r="CA185" s="214"/>
    </row>
    <row r="186" spans="1:79" s="215" customFormat="1" ht="21" customHeight="1" x14ac:dyDescent="0.25">
      <c r="A186" s="117" t="s">
        <v>450</v>
      </c>
      <c r="B186" s="186" t="s">
        <v>28</v>
      </c>
      <c r="C186" s="186" t="s">
        <v>248</v>
      </c>
      <c r="D186" s="187" t="s">
        <v>451</v>
      </c>
      <c r="E186" s="23" t="s">
        <v>452</v>
      </c>
      <c r="F186" s="209"/>
      <c r="G186" s="210"/>
      <c r="H186" s="211"/>
      <c r="I186" s="212">
        <v>45</v>
      </c>
      <c r="J186" s="81" t="s">
        <v>25</v>
      </c>
      <c r="K186" s="213">
        <f t="shared" si="24"/>
        <v>0</v>
      </c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  <c r="X186" s="214"/>
      <c r="Y186" s="214"/>
      <c r="Z186" s="214"/>
      <c r="AA186" s="214"/>
      <c r="AB186" s="214"/>
      <c r="AC186" s="214"/>
      <c r="AD186" s="214"/>
      <c r="AE186" s="214"/>
      <c r="AF186" s="214"/>
      <c r="AG186" s="214"/>
      <c r="AH186" s="214"/>
      <c r="AI186" s="214"/>
      <c r="AJ186" s="214"/>
      <c r="AK186" s="214"/>
      <c r="AL186" s="214"/>
      <c r="AM186" s="214"/>
      <c r="AN186" s="214"/>
      <c r="AO186" s="214"/>
      <c r="AP186" s="214"/>
      <c r="AQ186" s="214"/>
      <c r="AR186" s="214"/>
      <c r="AS186" s="214"/>
      <c r="AT186" s="214"/>
      <c r="AU186" s="214"/>
      <c r="AV186" s="214"/>
      <c r="AW186" s="214"/>
      <c r="AX186" s="214"/>
      <c r="AY186" s="214"/>
      <c r="AZ186" s="214"/>
      <c r="BA186" s="214"/>
      <c r="BB186" s="214"/>
      <c r="BC186" s="214"/>
      <c r="BD186" s="214"/>
      <c r="BE186" s="214"/>
      <c r="BF186" s="214"/>
      <c r="BG186" s="214"/>
      <c r="BH186" s="214"/>
      <c r="BI186" s="214"/>
      <c r="BJ186" s="214"/>
      <c r="BK186" s="214"/>
      <c r="BL186" s="214"/>
      <c r="BM186" s="214"/>
      <c r="BN186" s="214"/>
      <c r="BO186" s="214"/>
      <c r="BP186" s="214"/>
      <c r="BQ186" s="214"/>
      <c r="BR186" s="214"/>
      <c r="BS186" s="214"/>
      <c r="BT186" s="214"/>
      <c r="BU186" s="214"/>
      <c r="BV186" s="214"/>
      <c r="BW186" s="214"/>
      <c r="BX186" s="214"/>
      <c r="BY186" s="214"/>
      <c r="BZ186" s="214"/>
      <c r="CA186" s="214"/>
    </row>
    <row r="187" spans="1:79" s="215" customFormat="1" ht="21" customHeight="1" x14ac:dyDescent="0.25">
      <c r="A187" s="117" t="s">
        <v>453</v>
      </c>
      <c r="B187" s="186" t="s">
        <v>28</v>
      </c>
      <c r="C187" s="186" t="s">
        <v>121</v>
      </c>
      <c r="D187" s="187" t="s">
        <v>441</v>
      </c>
      <c r="E187" s="23" t="s">
        <v>454</v>
      </c>
      <c r="F187" s="209"/>
      <c r="G187" s="210"/>
      <c r="H187" s="211"/>
      <c r="I187" s="212">
        <v>56</v>
      </c>
      <c r="J187" s="81"/>
      <c r="K187" s="213">
        <f t="shared" si="24"/>
        <v>0</v>
      </c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  <c r="X187" s="214"/>
      <c r="Y187" s="214"/>
      <c r="Z187" s="214"/>
      <c r="AA187" s="214"/>
      <c r="AB187" s="214"/>
      <c r="AC187" s="214"/>
      <c r="AD187" s="214"/>
      <c r="AE187" s="214"/>
      <c r="AF187" s="214"/>
      <c r="AG187" s="214"/>
      <c r="AH187" s="214"/>
      <c r="AI187" s="214"/>
      <c r="AJ187" s="214"/>
      <c r="AK187" s="214"/>
      <c r="AL187" s="214"/>
      <c r="AM187" s="214"/>
      <c r="AN187" s="214"/>
      <c r="AO187" s="214"/>
      <c r="AP187" s="214"/>
      <c r="AQ187" s="214"/>
      <c r="AR187" s="214"/>
      <c r="AS187" s="214"/>
      <c r="AT187" s="214"/>
      <c r="AU187" s="214"/>
      <c r="AV187" s="214"/>
      <c r="AW187" s="214"/>
      <c r="AX187" s="214"/>
      <c r="AY187" s="214"/>
      <c r="AZ187" s="214"/>
      <c r="BA187" s="214"/>
      <c r="BB187" s="214"/>
      <c r="BC187" s="214"/>
      <c r="BD187" s="214"/>
      <c r="BE187" s="214"/>
      <c r="BF187" s="214"/>
      <c r="BG187" s="214"/>
      <c r="BH187" s="214"/>
      <c r="BI187" s="214"/>
      <c r="BJ187" s="214"/>
      <c r="BK187" s="214"/>
      <c r="BL187" s="214"/>
      <c r="BM187" s="214"/>
      <c r="BN187" s="214"/>
      <c r="BO187" s="214"/>
      <c r="BP187" s="214"/>
      <c r="BQ187" s="214"/>
      <c r="BR187" s="214"/>
      <c r="BS187" s="214"/>
      <c r="BT187" s="214"/>
      <c r="BU187" s="214"/>
      <c r="BV187" s="214"/>
      <c r="BW187" s="214"/>
      <c r="BX187" s="214"/>
      <c r="BY187" s="214"/>
      <c r="BZ187" s="214"/>
      <c r="CA187" s="214"/>
    </row>
    <row r="188" spans="1:79" s="215" customFormat="1" ht="21" customHeight="1" x14ac:dyDescent="0.25">
      <c r="A188" s="117" t="s">
        <v>455</v>
      </c>
      <c r="B188" s="186" t="s">
        <v>65</v>
      </c>
      <c r="C188" s="186" t="s">
        <v>111</v>
      </c>
      <c r="D188" s="187" t="s">
        <v>441</v>
      </c>
      <c r="E188" s="23" t="s">
        <v>456</v>
      </c>
      <c r="F188" s="209"/>
      <c r="G188" s="210"/>
      <c r="H188" s="211"/>
      <c r="I188" s="212">
        <v>9</v>
      </c>
      <c r="J188" s="81" t="s">
        <v>457</v>
      </c>
      <c r="K188" s="213">
        <f t="shared" si="24"/>
        <v>0</v>
      </c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  <c r="X188" s="214"/>
      <c r="Y188" s="214"/>
      <c r="Z188" s="214"/>
      <c r="AA188" s="214"/>
      <c r="AB188" s="214"/>
      <c r="AC188" s="214"/>
      <c r="AD188" s="214"/>
      <c r="AE188" s="214"/>
      <c r="AF188" s="214"/>
      <c r="AG188" s="214"/>
      <c r="AH188" s="214"/>
      <c r="AI188" s="214"/>
      <c r="AJ188" s="214"/>
      <c r="AK188" s="214"/>
      <c r="AL188" s="214"/>
      <c r="AM188" s="214"/>
      <c r="AN188" s="214"/>
      <c r="AO188" s="214"/>
      <c r="AP188" s="214"/>
      <c r="AQ188" s="214"/>
      <c r="AR188" s="214"/>
      <c r="AS188" s="214"/>
      <c r="AT188" s="214"/>
      <c r="AU188" s="214"/>
      <c r="AV188" s="214"/>
      <c r="AW188" s="214"/>
      <c r="AX188" s="214"/>
      <c r="AY188" s="214"/>
      <c r="AZ188" s="214"/>
      <c r="BA188" s="214"/>
      <c r="BB188" s="214"/>
      <c r="BC188" s="214"/>
      <c r="BD188" s="214"/>
      <c r="BE188" s="214"/>
      <c r="BF188" s="214"/>
      <c r="BG188" s="214"/>
      <c r="BH188" s="214"/>
      <c r="BI188" s="214"/>
      <c r="BJ188" s="214"/>
      <c r="BK188" s="214"/>
      <c r="BL188" s="214"/>
      <c r="BM188" s="214"/>
      <c r="BN188" s="214"/>
      <c r="BO188" s="214"/>
      <c r="BP188" s="214"/>
      <c r="BQ188" s="214"/>
      <c r="BR188" s="214"/>
      <c r="BS188" s="214"/>
      <c r="BT188" s="214"/>
      <c r="BU188" s="214"/>
      <c r="BV188" s="214"/>
      <c r="BW188" s="214"/>
      <c r="BX188" s="214"/>
      <c r="BY188" s="214"/>
      <c r="BZ188" s="214"/>
      <c r="CA188" s="214"/>
    </row>
    <row r="189" spans="1:79" s="215" customFormat="1" ht="21" customHeight="1" x14ac:dyDescent="0.25">
      <c r="A189" s="117" t="s">
        <v>458</v>
      </c>
      <c r="B189" s="186" t="s">
        <v>28</v>
      </c>
      <c r="C189" s="186" t="s">
        <v>125</v>
      </c>
      <c r="D189" s="187" t="s">
        <v>411</v>
      </c>
      <c r="E189" s="23" t="s">
        <v>459</v>
      </c>
      <c r="F189" s="209"/>
      <c r="G189" s="210"/>
      <c r="H189" s="211"/>
      <c r="I189" s="212">
        <v>84</v>
      </c>
      <c r="J189" s="81"/>
      <c r="K189" s="213">
        <f t="shared" si="24"/>
        <v>0</v>
      </c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  <c r="Y189" s="214"/>
      <c r="Z189" s="214"/>
      <c r="AA189" s="214"/>
      <c r="AB189" s="214"/>
      <c r="AC189" s="214"/>
      <c r="AD189" s="214"/>
      <c r="AE189" s="214"/>
      <c r="AF189" s="214"/>
      <c r="AG189" s="214"/>
      <c r="AH189" s="214"/>
      <c r="AI189" s="214"/>
      <c r="AJ189" s="214"/>
      <c r="AK189" s="214"/>
      <c r="AL189" s="214"/>
      <c r="AM189" s="214"/>
      <c r="AN189" s="214"/>
      <c r="AO189" s="214"/>
      <c r="AP189" s="214"/>
      <c r="AQ189" s="214"/>
      <c r="AR189" s="214"/>
      <c r="AS189" s="214"/>
      <c r="AT189" s="214"/>
      <c r="AU189" s="214"/>
      <c r="AV189" s="214"/>
      <c r="AW189" s="214"/>
      <c r="AX189" s="214"/>
      <c r="AY189" s="214"/>
      <c r="AZ189" s="214"/>
      <c r="BA189" s="214"/>
      <c r="BB189" s="214"/>
      <c r="BC189" s="214"/>
      <c r="BD189" s="214"/>
      <c r="BE189" s="214"/>
      <c r="BF189" s="214"/>
      <c r="BG189" s="214"/>
      <c r="BH189" s="214"/>
      <c r="BI189" s="214"/>
      <c r="BJ189" s="214"/>
      <c r="BK189" s="214"/>
      <c r="BL189" s="214"/>
      <c r="BM189" s="214"/>
      <c r="BN189" s="214"/>
      <c r="BO189" s="214"/>
      <c r="BP189" s="214"/>
      <c r="BQ189" s="214"/>
      <c r="BR189" s="214"/>
      <c r="BS189" s="214"/>
      <c r="BT189" s="214"/>
      <c r="BU189" s="214"/>
      <c r="BV189" s="214"/>
      <c r="BW189" s="214"/>
      <c r="BX189" s="214"/>
      <c r="BY189" s="214"/>
      <c r="BZ189" s="214"/>
      <c r="CA189" s="214"/>
    </row>
    <row r="190" spans="1:79" s="215" customFormat="1" ht="21" customHeight="1" x14ac:dyDescent="0.25">
      <c r="A190" s="117" t="s">
        <v>460</v>
      </c>
      <c r="B190" s="186" t="s">
        <v>28</v>
      </c>
      <c r="C190" s="186" t="s">
        <v>131</v>
      </c>
      <c r="D190" s="187" t="s">
        <v>441</v>
      </c>
      <c r="E190" s="23" t="s">
        <v>461</v>
      </c>
      <c r="F190" s="209"/>
      <c r="G190" s="210"/>
      <c r="H190" s="211"/>
      <c r="I190" s="212">
        <v>58</v>
      </c>
      <c r="J190" s="81"/>
      <c r="K190" s="213">
        <f t="shared" si="24"/>
        <v>0</v>
      </c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  <c r="Y190" s="214"/>
      <c r="Z190" s="214"/>
      <c r="AA190" s="214"/>
      <c r="AB190" s="214"/>
      <c r="AC190" s="214"/>
      <c r="AD190" s="214"/>
      <c r="AE190" s="214"/>
      <c r="AF190" s="214"/>
      <c r="AG190" s="214"/>
      <c r="AH190" s="214"/>
      <c r="AI190" s="214"/>
      <c r="AJ190" s="214"/>
      <c r="AK190" s="214"/>
      <c r="AL190" s="214"/>
      <c r="AM190" s="214"/>
      <c r="AN190" s="214"/>
      <c r="AO190" s="214"/>
      <c r="AP190" s="214"/>
      <c r="AQ190" s="214"/>
      <c r="AR190" s="214"/>
      <c r="AS190" s="214"/>
      <c r="AT190" s="214"/>
      <c r="AU190" s="214"/>
      <c r="AV190" s="214"/>
      <c r="AW190" s="214"/>
      <c r="AX190" s="214"/>
      <c r="AY190" s="214"/>
      <c r="AZ190" s="214"/>
      <c r="BA190" s="214"/>
      <c r="BB190" s="214"/>
      <c r="BC190" s="214"/>
      <c r="BD190" s="214"/>
      <c r="BE190" s="214"/>
      <c r="BF190" s="214"/>
      <c r="BG190" s="214"/>
      <c r="BH190" s="214"/>
      <c r="BI190" s="214"/>
      <c r="BJ190" s="214"/>
      <c r="BK190" s="214"/>
      <c r="BL190" s="214"/>
      <c r="BM190" s="214"/>
      <c r="BN190" s="214"/>
      <c r="BO190" s="214"/>
      <c r="BP190" s="214"/>
      <c r="BQ190" s="214"/>
      <c r="BR190" s="214"/>
      <c r="BS190" s="214"/>
      <c r="BT190" s="214"/>
      <c r="BU190" s="214"/>
      <c r="BV190" s="214"/>
      <c r="BW190" s="214"/>
      <c r="BX190" s="214"/>
      <c r="BY190" s="214"/>
      <c r="BZ190" s="214"/>
      <c r="CA190" s="214"/>
    </row>
    <row r="191" spans="1:79" s="215" customFormat="1" ht="21" customHeight="1" x14ac:dyDescent="0.25">
      <c r="A191" s="117" t="s">
        <v>462</v>
      </c>
      <c r="B191" s="186" t="s">
        <v>45</v>
      </c>
      <c r="C191" s="186" t="s">
        <v>46</v>
      </c>
      <c r="D191" s="187" t="s">
        <v>441</v>
      </c>
      <c r="E191" s="23" t="s">
        <v>463</v>
      </c>
      <c r="F191" s="209"/>
      <c r="G191" s="210"/>
      <c r="H191" s="211"/>
      <c r="I191" s="212">
        <v>2.7</v>
      </c>
      <c r="J191" s="81"/>
      <c r="K191" s="213">
        <f t="shared" si="24"/>
        <v>0</v>
      </c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  <c r="AA191" s="214"/>
      <c r="AB191" s="214"/>
      <c r="AC191" s="214"/>
      <c r="AD191" s="214"/>
      <c r="AE191" s="214"/>
      <c r="AF191" s="214"/>
      <c r="AG191" s="214"/>
      <c r="AH191" s="214"/>
      <c r="AI191" s="214"/>
      <c r="AJ191" s="214"/>
      <c r="AK191" s="214"/>
      <c r="AL191" s="214"/>
      <c r="AM191" s="214"/>
      <c r="AN191" s="214"/>
      <c r="AO191" s="214"/>
      <c r="AP191" s="214"/>
      <c r="AQ191" s="214"/>
      <c r="AR191" s="214"/>
      <c r="AS191" s="214"/>
      <c r="AT191" s="214"/>
      <c r="AU191" s="214"/>
      <c r="AV191" s="214"/>
      <c r="AW191" s="214"/>
      <c r="AX191" s="214"/>
      <c r="AY191" s="214"/>
      <c r="AZ191" s="214"/>
      <c r="BA191" s="214"/>
      <c r="BB191" s="214"/>
      <c r="BC191" s="214"/>
      <c r="BD191" s="214"/>
      <c r="BE191" s="214"/>
      <c r="BF191" s="214"/>
      <c r="BG191" s="214"/>
      <c r="BH191" s="214"/>
      <c r="BI191" s="214"/>
      <c r="BJ191" s="214"/>
      <c r="BK191" s="214"/>
      <c r="BL191" s="214"/>
      <c r="BM191" s="214"/>
      <c r="BN191" s="214"/>
      <c r="BO191" s="214"/>
      <c r="BP191" s="214"/>
      <c r="BQ191" s="214"/>
      <c r="BR191" s="214"/>
      <c r="BS191" s="214"/>
      <c r="BT191" s="214"/>
      <c r="BU191" s="214"/>
      <c r="BV191" s="214"/>
      <c r="BW191" s="214"/>
      <c r="BX191" s="214"/>
      <c r="BY191" s="214"/>
      <c r="BZ191" s="214"/>
      <c r="CA191" s="214"/>
    </row>
    <row r="192" spans="1:79" s="215" customFormat="1" ht="21" customHeight="1" x14ac:dyDescent="0.25">
      <c r="A192" s="117" t="s">
        <v>464</v>
      </c>
      <c r="B192" s="186" t="s">
        <v>28</v>
      </c>
      <c r="C192" s="186" t="s">
        <v>125</v>
      </c>
      <c r="D192" s="187" t="s">
        <v>411</v>
      </c>
      <c r="E192" s="23" t="s">
        <v>465</v>
      </c>
      <c r="F192" s="209"/>
      <c r="G192" s="210"/>
      <c r="H192" s="211"/>
      <c r="I192" s="212">
        <v>91</v>
      </c>
      <c r="J192" s="81"/>
      <c r="K192" s="213">
        <f>G192*I192</f>
        <v>0</v>
      </c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  <c r="Y192" s="214"/>
      <c r="Z192" s="214"/>
      <c r="AA192" s="214"/>
      <c r="AB192" s="214"/>
      <c r="AC192" s="214"/>
      <c r="AD192" s="214"/>
      <c r="AE192" s="214"/>
      <c r="AF192" s="214"/>
      <c r="AG192" s="214"/>
      <c r="AH192" s="214"/>
      <c r="AI192" s="214"/>
      <c r="AJ192" s="214"/>
      <c r="AK192" s="214"/>
      <c r="AL192" s="214"/>
      <c r="AM192" s="214"/>
      <c r="AN192" s="214"/>
      <c r="AO192" s="214"/>
      <c r="AP192" s="214"/>
      <c r="AQ192" s="214"/>
      <c r="AR192" s="214"/>
      <c r="AS192" s="214"/>
      <c r="AT192" s="214"/>
      <c r="AU192" s="214"/>
      <c r="AV192" s="214"/>
      <c r="AW192" s="214"/>
      <c r="AX192" s="214"/>
      <c r="AY192" s="214"/>
      <c r="AZ192" s="214"/>
      <c r="BA192" s="214"/>
      <c r="BB192" s="214"/>
      <c r="BC192" s="214"/>
      <c r="BD192" s="214"/>
      <c r="BE192" s="214"/>
      <c r="BF192" s="214"/>
      <c r="BG192" s="214"/>
      <c r="BH192" s="214"/>
      <c r="BI192" s="214"/>
      <c r="BJ192" s="214"/>
      <c r="BK192" s="214"/>
      <c r="BL192" s="214"/>
      <c r="BM192" s="214"/>
      <c r="BN192" s="214"/>
      <c r="BO192" s="214"/>
      <c r="BP192" s="214"/>
      <c r="BQ192" s="214"/>
      <c r="BR192" s="214"/>
      <c r="BS192" s="214"/>
      <c r="BT192" s="214"/>
      <c r="BU192" s="214"/>
      <c r="BV192" s="214"/>
      <c r="BW192" s="214"/>
      <c r="BX192" s="214"/>
      <c r="BY192" s="214"/>
      <c r="BZ192" s="214"/>
      <c r="CA192" s="214"/>
    </row>
    <row r="193" spans="1:79" s="215" customFormat="1" ht="21" customHeight="1" x14ac:dyDescent="0.25">
      <c r="A193" s="117" t="s">
        <v>466</v>
      </c>
      <c r="B193" s="186" t="s">
        <v>28</v>
      </c>
      <c r="C193" s="186" t="s">
        <v>467</v>
      </c>
      <c r="D193" s="187" t="s">
        <v>468</v>
      </c>
      <c r="E193" s="23" t="s">
        <v>469</v>
      </c>
      <c r="F193" s="209"/>
      <c r="G193" s="210"/>
      <c r="H193" s="211"/>
      <c r="I193" s="212">
        <v>51</v>
      </c>
      <c r="J193" s="81"/>
      <c r="K193" s="213">
        <f t="shared" si="24"/>
        <v>0</v>
      </c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  <c r="Y193" s="214"/>
      <c r="Z193" s="214"/>
      <c r="AA193" s="214"/>
      <c r="AB193" s="214"/>
      <c r="AC193" s="214"/>
      <c r="AD193" s="214"/>
      <c r="AE193" s="214"/>
      <c r="AF193" s="214"/>
      <c r="AG193" s="214"/>
      <c r="AH193" s="214"/>
      <c r="AI193" s="214"/>
      <c r="AJ193" s="214"/>
      <c r="AK193" s="214"/>
      <c r="AL193" s="214"/>
      <c r="AM193" s="214"/>
      <c r="AN193" s="214"/>
      <c r="AO193" s="214"/>
      <c r="AP193" s="214"/>
      <c r="AQ193" s="214"/>
      <c r="AR193" s="214"/>
      <c r="AS193" s="214"/>
      <c r="AT193" s="214"/>
      <c r="AU193" s="214"/>
      <c r="AV193" s="214"/>
      <c r="AW193" s="214"/>
      <c r="AX193" s="214"/>
      <c r="AY193" s="214"/>
      <c r="AZ193" s="214"/>
      <c r="BA193" s="214"/>
      <c r="BB193" s="214"/>
      <c r="BC193" s="214"/>
      <c r="BD193" s="214"/>
      <c r="BE193" s="214"/>
      <c r="BF193" s="214"/>
      <c r="BG193" s="214"/>
      <c r="BH193" s="214"/>
      <c r="BI193" s="214"/>
      <c r="BJ193" s="214"/>
      <c r="BK193" s="214"/>
      <c r="BL193" s="214"/>
      <c r="BM193" s="214"/>
      <c r="BN193" s="214"/>
      <c r="BO193" s="214"/>
      <c r="BP193" s="214"/>
      <c r="BQ193" s="214"/>
      <c r="BR193" s="214"/>
      <c r="BS193" s="214"/>
      <c r="BT193" s="214"/>
      <c r="BU193" s="214"/>
      <c r="BV193" s="214"/>
      <c r="BW193" s="214"/>
      <c r="BX193" s="214"/>
      <c r="BY193" s="214"/>
      <c r="BZ193" s="214"/>
      <c r="CA193" s="214"/>
    </row>
    <row r="194" spans="1:79" s="215" customFormat="1" ht="21" customHeight="1" x14ac:dyDescent="0.25">
      <c r="A194" s="117" t="s">
        <v>466</v>
      </c>
      <c r="B194" s="186" t="s">
        <v>28</v>
      </c>
      <c r="C194" s="186" t="s">
        <v>66</v>
      </c>
      <c r="D194" s="187" t="s">
        <v>468</v>
      </c>
      <c r="E194" s="23" t="s">
        <v>470</v>
      </c>
      <c r="F194" s="209"/>
      <c r="G194" s="210"/>
      <c r="H194" s="211"/>
      <c r="I194" s="212">
        <v>82</v>
      </c>
      <c r="J194" s="81" t="s">
        <v>471</v>
      </c>
      <c r="K194" s="213">
        <f t="shared" ref="K194" si="33">G194*I194</f>
        <v>0</v>
      </c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  <c r="AA194" s="214"/>
      <c r="AB194" s="214"/>
      <c r="AC194" s="214"/>
      <c r="AD194" s="214"/>
      <c r="AE194" s="214"/>
      <c r="AF194" s="214"/>
      <c r="AG194" s="214"/>
      <c r="AH194" s="214"/>
      <c r="AI194" s="214"/>
      <c r="AJ194" s="214"/>
      <c r="AK194" s="214"/>
      <c r="AL194" s="214"/>
      <c r="AM194" s="214"/>
      <c r="AN194" s="214"/>
      <c r="AO194" s="214"/>
      <c r="AP194" s="214"/>
      <c r="AQ194" s="214"/>
      <c r="AR194" s="214"/>
      <c r="AS194" s="214"/>
      <c r="AT194" s="214"/>
      <c r="AU194" s="214"/>
      <c r="AV194" s="214"/>
      <c r="AW194" s="214"/>
      <c r="AX194" s="214"/>
      <c r="AY194" s="214"/>
      <c r="AZ194" s="214"/>
      <c r="BA194" s="214"/>
      <c r="BB194" s="214"/>
      <c r="BC194" s="214"/>
      <c r="BD194" s="214"/>
      <c r="BE194" s="214"/>
      <c r="BF194" s="214"/>
      <c r="BG194" s="214"/>
      <c r="BH194" s="214"/>
      <c r="BI194" s="214"/>
      <c r="BJ194" s="214"/>
      <c r="BK194" s="214"/>
      <c r="BL194" s="214"/>
      <c r="BM194" s="214"/>
      <c r="BN194" s="214"/>
      <c r="BO194" s="214"/>
      <c r="BP194" s="214"/>
      <c r="BQ194" s="214"/>
      <c r="BR194" s="214"/>
      <c r="BS194" s="214"/>
      <c r="BT194" s="214"/>
      <c r="BU194" s="214"/>
      <c r="BV194" s="214"/>
      <c r="BW194" s="214"/>
      <c r="BX194" s="214"/>
      <c r="BY194" s="214"/>
      <c r="BZ194" s="214"/>
      <c r="CA194" s="214"/>
    </row>
    <row r="195" spans="1:79" s="215" customFormat="1" ht="21" customHeight="1" x14ac:dyDescent="0.25">
      <c r="A195" s="117" t="s">
        <v>472</v>
      </c>
      <c r="B195" s="186" t="s">
        <v>45</v>
      </c>
      <c r="C195" s="186" t="s">
        <v>46</v>
      </c>
      <c r="D195" s="187" t="s">
        <v>473</v>
      </c>
      <c r="E195" s="23" t="s">
        <v>474</v>
      </c>
      <c r="F195" s="209"/>
      <c r="G195" s="210"/>
      <c r="H195" s="211"/>
      <c r="I195" s="212">
        <v>14</v>
      </c>
      <c r="J195" s="81" t="s">
        <v>92</v>
      </c>
      <c r="K195" s="213">
        <f t="shared" si="24"/>
        <v>0</v>
      </c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4"/>
      <c r="AD195" s="214"/>
      <c r="AE195" s="214"/>
      <c r="AF195" s="214"/>
      <c r="AG195" s="214"/>
      <c r="AH195" s="214"/>
      <c r="AI195" s="214"/>
      <c r="AJ195" s="214"/>
      <c r="AK195" s="214"/>
      <c r="AL195" s="214"/>
      <c r="AM195" s="214"/>
      <c r="AN195" s="214"/>
      <c r="AO195" s="214"/>
      <c r="AP195" s="214"/>
      <c r="AQ195" s="214"/>
      <c r="AR195" s="214"/>
      <c r="AS195" s="214"/>
      <c r="AT195" s="214"/>
      <c r="AU195" s="214"/>
      <c r="AV195" s="214"/>
      <c r="AW195" s="214"/>
      <c r="AX195" s="214"/>
      <c r="AY195" s="214"/>
      <c r="AZ195" s="214"/>
      <c r="BA195" s="214"/>
      <c r="BB195" s="214"/>
      <c r="BC195" s="214"/>
      <c r="BD195" s="214"/>
      <c r="BE195" s="214"/>
      <c r="BF195" s="214"/>
      <c r="BG195" s="214"/>
      <c r="BH195" s="214"/>
      <c r="BI195" s="214"/>
      <c r="BJ195" s="214"/>
      <c r="BK195" s="214"/>
      <c r="BL195" s="214"/>
      <c r="BM195" s="214"/>
      <c r="BN195" s="214"/>
      <c r="BO195" s="214"/>
      <c r="BP195" s="214"/>
      <c r="BQ195" s="214"/>
      <c r="BR195" s="214"/>
      <c r="BS195" s="214"/>
      <c r="BT195" s="214"/>
      <c r="BU195" s="214"/>
      <c r="BV195" s="214"/>
      <c r="BW195" s="214"/>
      <c r="BX195" s="214"/>
      <c r="BY195" s="214"/>
      <c r="BZ195" s="214"/>
      <c r="CA195" s="214"/>
    </row>
    <row r="196" spans="1:79" s="215" customFormat="1" ht="21" customHeight="1" x14ac:dyDescent="0.25">
      <c r="A196" s="117" t="s">
        <v>475</v>
      </c>
      <c r="B196" s="186" t="s">
        <v>28</v>
      </c>
      <c r="C196" s="186" t="s">
        <v>121</v>
      </c>
      <c r="D196" s="187" t="s">
        <v>351</v>
      </c>
      <c r="E196" s="23" t="s">
        <v>476</v>
      </c>
      <c r="F196" s="209"/>
      <c r="G196" s="210"/>
      <c r="H196" s="211"/>
      <c r="I196" s="212">
        <v>100</v>
      </c>
      <c r="J196" s="81"/>
      <c r="K196" s="213">
        <f t="shared" ref="K196" si="34">G196*I196</f>
        <v>0</v>
      </c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4"/>
      <c r="AD196" s="214"/>
      <c r="AE196" s="214"/>
      <c r="AF196" s="214"/>
      <c r="AG196" s="214"/>
      <c r="AH196" s="214"/>
      <c r="AI196" s="214"/>
      <c r="AJ196" s="214"/>
      <c r="AK196" s="214"/>
      <c r="AL196" s="214"/>
      <c r="AM196" s="214"/>
      <c r="AN196" s="214"/>
      <c r="AO196" s="214"/>
      <c r="AP196" s="214"/>
      <c r="AQ196" s="214"/>
      <c r="AR196" s="214"/>
      <c r="AS196" s="214"/>
      <c r="AT196" s="214"/>
      <c r="AU196" s="214"/>
      <c r="AV196" s="214"/>
      <c r="AW196" s="214"/>
      <c r="AX196" s="214"/>
      <c r="AY196" s="214"/>
      <c r="AZ196" s="214"/>
      <c r="BA196" s="214"/>
      <c r="BB196" s="214"/>
      <c r="BC196" s="214"/>
      <c r="BD196" s="214"/>
      <c r="BE196" s="214"/>
      <c r="BF196" s="214"/>
      <c r="BG196" s="214"/>
      <c r="BH196" s="214"/>
      <c r="BI196" s="214"/>
      <c r="BJ196" s="214"/>
      <c r="BK196" s="214"/>
      <c r="BL196" s="214"/>
      <c r="BM196" s="214"/>
      <c r="BN196" s="214"/>
      <c r="BO196" s="214"/>
      <c r="BP196" s="214"/>
      <c r="BQ196" s="214"/>
      <c r="BR196" s="214"/>
      <c r="BS196" s="214"/>
      <c r="BT196" s="214"/>
      <c r="BU196" s="214"/>
      <c r="BV196" s="214"/>
      <c r="BW196" s="214"/>
      <c r="BX196" s="214"/>
      <c r="BY196" s="214"/>
      <c r="BZ196" s="214"/>
      <c r="CA196" s="214"/>
    </row>
    <row r="197" spans="1:79" s="215" customFormat="1" ht="21" customHeight="1" x14ac:dyDescent="0.25">
      <c r="A197" s="117" t="s">
        <v>477</v>
      </c>
      <c r="B197" s="186" t="s">
        <v>28</v>
      </c>
      <c r="C197" s="186" t="s">
        <v>121</v>
      </c>
      <c r="D197" s="187" t="s">
        <v>371</v>
      </c>
      <c r="E197" s="23" t="s">
        <v>478</v>
      </c>
      <c r="F197" s="209"/>
      <c r="G197" s="210"/>
      <c r="H197" s="211"/>
      <c r="I197" s="212">
        <v>80</v>
      </c>
      <c r="J197" s="81"/>
      <c r="K197" s="213">
        <f t="shared" si="24"/>
        <v>0</v>
      </c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  <c r="Y197" s="214"/>
      <c r="Z197" s="214"/>
      <c r="AA197" s="214"/>
      <c r="AB197" s="214"/>
      <c r="AC197" s="214"/>
      <c r="AD197" s="214"/>
      <c r="AE197" s="214"/>
      <c r="AF197" s="214"/>
      <c r="AG197" s="214"/>
      <c r="AH197" s="214"/>
      <c r="AI197" s="214"/>
      <c r="AJ197" s="214"/>
      <c r="AK197" s="214"/>
      <c r="AL197" s="214"/>
      <c r="AM197" s="214"/>
      <c r="AN197" s="214"/>
      <c r="AO197" s="214"/>
      <c r="AP197" s="214"/>
      <c r="AQ197" s="214"/>
      <c r="AR197" s="214"/>
      <c r="AS197" s="214"/>
      <c r="AT197" s="214"/>
      <c r="AU197" s="214"/>
      <c r="AV197" s="214"/>
      <c r="AW197" s="214"/>
      <c r="AX197" s="214"/>
      <c r="AY197" s="214"/>
      <c r="AZ197" s="214"/>
      <c r="BA197" s="214"/>
      <c r="BB197" s="214"/>
      <c r="BC197" s="214"/>
      <c r="BD197" s="214"/>
      <c r="BE197" s="214"/>
      <c r="BF197" s="214"/>
      <c r="BG197" s="214"/>
      <c r="BH197" s="214"/>
      <c r="BI197" s="214"/>
      <c r="BJ197" s="214"/>
      <c r="BK197" s="214"/>
      <c r="BL197" s="214"/>
      <c r="BM197" s="214"/>
      <c r="BN197" s="214"/>
      <c r="BO197" s="214"/>
      <c r="BP197" s="214"/>
      <c r="BQ197" s="214"/>
      <c r="BR197" s="214"/>
      <c r="BS197" s="214"/>
      <c r="BT197" s="214"/>
      <c r="BU197" s="214"/>
      <c r="BV197" s="214"/>
      <c r="BW197" s="214"/>
      <c r="BX197" s="214"/>
      <c r="BY197" s="214"/>
      <c r="BZ197" s="214"/>
      <c r="CA197" s="214"/>
    </row>
    <row r="198" spans="1:79" s="215" customFormat="1" ht="21" customHeight="1" x14ac:dyDescent="0.25">
      <c r="A198" s="117" t="s">
        <v>477</v>
      </c>
      <c r="B198" s="186" t="s">
        <v>28</v>
      </c>
      <c r="C198" s="186" t="s">
        <v>121</v>
      </c>
      <c r="D198" s="187" t="s">
        <v>351</v>
      </c>
      <c r="E198" s="23" t="s">
        <v>479</v>
      </c>
      <c r="F198" s="209"/>
      <c r="G198" s="210"/>
      <c r="H198" s="211"/>
      <c r="I198" s="212">
        <v>100</v>
      </c>
      <c r="J198" s="81"/>
      <c r="K198" s="213">
        <f t="shared" si="24"/>
        <v>0</v>
      </c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  <c r="Y198" s="214"/>
      <c r="Z198" s="214"/>
      <c r="AA198" s="214"/>
      <c r="AB198" s="214"/>
      <c r="AC198" s="214"/>
      <c r="AD198" s="214"/>
      <c r="AE198" s="214"/>
      <c r="AF198" s="214"/>
      <c r="AG198" s="214"/>
      <c r="AH198" s="214"/>
      <c r="AI198" s="214"/>
      <c r="AJ198" s="214"/>
      <c r="AK198" s="214"/>
      <c r="AL198" s="214"/>
      <c r="AM198" s="214"/>
      <c r="AN198" s="214"/>
      <c r="AO198" s="214"/>
      <c r="AP198" s="214"/>
      <c r="AQ198" s="214"/>
      <c r="AR198" s="214"/>
      <c r="AS198" s="214"/>
      <c r="AT198" s="214"/>
      <c r="AU198" s="214"/>
      <c r="AV198" s="214"/>
      <c r="AW198" s="214"/>
      <c r="AX198" s="214"/>
      <c r="AY198" s="214"/>
      <c r="AZ198" s="214"/>
      <c r="BA198" s="214"/>
      <c r="BB198" s="214"/>
      <c r="BC198" s="214"/>
      <c r="BD198" s="214"/>
      <c r="BE198" s="214"/>
      <c r="BF198" s="214"/>
      <c r="BG198" s="214"/>
      <c r="BH198" s="214"/>
      <c r="BI198" s="214"/>
      <c r="BJ198" s="214"/>
      <c r="BK198" s="214"/>
      <c r="BL198" s="214"/>
      <c r="BM198" s="214"/>
      <c r="BN198" s="214"/>
      <c r="BO198" s="214"/>
      <c r="BP198" s="214"/>
      <c r="BQ198" s="214"/>
      <c r="BR198" s="214"/>
      <c r="BS198" s="214"/>
      <c r="BT198" s="214"/>
      <c r="BU198" s="214"/>
      <c r="BV198" s="214"/>
      <c r="BW198" s="214"/>
      <c r="BX198" s="214"/>
      <c r="BY198" s="214"/>
      <c r="BZ198" s="214"/>
      <c r="CA198" s="214"/>
    </row>
    <row r="199" spans="1:79" s="215" customFormat="1" ht="21" customHeight="1" x14ac:dyDescent="0.25">
      <c r="A199" s="117" t="s">
        <v>480</v>
      </c>
      <c r="B199" s="186" t="s">
        <v>28</v>
      </c>
      <c r="C199" s="186" t="s">
        <v>66</v>
      </c>
      <c r="D199" s="187" t="s">
        <v>355</v>
      </c>
      <c r="E199" s="23" t="s">
        <v>481</v>
      </c>
      <c r="F199" s="209"/>
      <c r="G199" s="210"/>
      <c r="H199" s="211"/>
      <c r="I199" s="212">
        <v>73</v>
      </c>
      <c r="J199" s="81"/>
      <c r="K199" s="213">
        <f t="shared" si="24"/>
        <v>0</v>
      </c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  <c r="Y199" s="214"/>
      <c r="Z199" s="214"/>
      <c r="AA199" s="214"/>
      <c r="AB199" s="214"/>
      <c r="AC199" s="214"/>
      <c r="AD199" s="214"/>
      <c r="AE199" s="214"/>
      <c r="AF199" s="214"/>
      <c r="AG199" s="214"/>
      <c r="AH199" s="214"/>
      <c r="AI199" s="214"/>
      <c r="AJ199" s="214"/>
      <c r="AK199" s="214"/>
      <c r="AL199" s="214"/>
      <c r="AM199" s="214"/>
      <c r="AN199" s="214"/>
      <c r="AO199" s="214"/>
      <c r="AP199" s="214"/>
      <c r="AQ199" s="214"/>
      <c r="AR199" s="214"/>
      <c r="AS199" s="214"/>
      <c r="AT199" s="214"/>
      <c r="AU199" s="214"/>
      <c r="AV199" s="214"/>
      <c r="AW199" s="214"/>
      <c r="AX199" s="214"/>
      <c r="AY199" s="214"/>
      <c r="AZ199" s="214"/>
      <c r="BA199" s="214"/>
      <c r="BB199" s="214"/>
      <c r="BC199" s="214"/>
      <c r="BD199" s="214"/>
      <c r="BE199" s="214"/>
      <c r="BF199" s="214"/>
      <c r="BG199" s="214"/>
      <c r="BH199" s="214"/>
      <c r="BI199" s="214"/>
      <c r="BJ199" s="214"/>
      <c r="BK199" s="214"/>
      <c r="BL199" s="214"/>
      <c r="BM199" s="214"/>
      <c r="BN199" s="214"/>
      <c r="BO199" s="214"/>
      <c r="BP199" s="214"/>
      <c r="BQ199" s="214"/>
      <c r="BR199" s="214"/>
      <c r="BS199" s="214"/>
      <c r="BT199" s="214"/>
      <c r="BU199" s="214"/>
      <c r="BV199" s="214"/>
      <c r="BW199" s="214"/>
      <c r="BX199" s="214"/>
      <c r="BY199" s="214"/>
      <c r="BZ199" s="214"/>
      <c r="CA199" s="214"/>
    </row>
    <row r="200" spans="1:79" s="215" customFormat="1" ht="21" customHeight="1" x14ac:dyDescent="0.25">
      <c r="A200" s="117" t="s">
        <v>482</v>
      </c>
      <c r="B200" s="186" t="s">
        <v>28</v>
      </c>
      <c r="C200" s="186" t="s">
        <v>332</v>
      </c>
      <c r="D200" s="187" t="s">
        <v>483</v>
      </c>
      <c r="E200" s="23" t="s">
        <v>484</v>
      </c>
      <c r="F200" s="209"/>
      <c r="G200" s="210"/>
      <c r="H200" s="211"/>
      <c r="I200" s="212">
        <v>40</v>
      </c>
      <c r="J200" s="81"/>
      <c r="K200" s="213">
        <f t="shared" si="24"/>
        <v>0</v>
      </c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  <c r="Y200" s="214"/>
      <c r="Z200" s="214"/>
      <c r="AA200" s="214"/>
      <c r="AB200" s="214"/>
      <c r="AC200" s="214"/>
      <c r="AD200" s="214"/>
      <c r="AE200" s="214"/>
      <c r="AF200" s="214"/>
      <c r="AG200" s="214"/>
      <c r="AH200" s="214"/>
      <c r="AI200" s="214"/>
      <c r="AJ200" s="214"/>
      <c r="AK200" s="214"/>
      <c r="AL200" s="214"/>
      <c r="AM200" s="214"/>
      <c r="AN200" s="214"/>
      <c r="AO200" s="214"/>
      <c r="AP200" s="214"/>
      <c r="AQ200" s="214"/>
      <c r="AR200" s="214"/>
      <c r="AS200" s="214"/>
      <c r="AT200" s="214"/>
      <c r="AU200" s="214"/>
      <c r="AV200" s="214"/>
      <c r="AW200" s="214"/>
      <c r="AX200" s="214"/>
      <c r="AY200" s="214"/>
      <c r="AZ200" s="214"/>
      <c r="BA200" s="214"/>
      <c r="BB200" s="214"/>
      <c r="BC200" s="214"/>
      <c r="BD200" s="214"/>
      <c r="BE200" s="214"/>
      <c r="BF200" s="214"/>
      <c r="BG200" s="214"/>
      <c r="BH200" s="214"/>
      <c r="BI200" s="214"/>
      <c r="BJ200" s="214"/>
      <c r="BK200" s="214"/>
      <c r="BL200" s="214"/>
      <c r="BM200" s="214"/>
      <c r="BN200" s="214"/>
      <c r="BO200" s="214"/>
      <c r="BP200" s="214"/>
      <c r="BQ200" s="214"/>
      <c r="BR200" s="214"/>
      <c r="BS200" s="214"/>
      <c r="BT200" s="214"/>
      <c r="BU200" s="214"/>
      <c r="BV200" s="214"/>
      <c r="BW200" s="214"/>
      <c r="BX200" s="214"/>
      <c r="BY200" s="214"/>
      <c r="BZ200" s="214"/>
      <c r="CA200" s="214"/>
    </row>
    <row r="201" spans="1:79" s="215" customFormat="1" ht="21" customHeight="1" x14ac:dyDescent="0.25">
      <c r="A201" s="117" t="s">
        <v>485</v>
      </c>
      <c r="B201" s="186" t="s">
        <v>208</v>
      </c>
      <c r="C201" s="186" t="s">
        <v>208</v>
      </c>
      <c r="D201" s="187" t="s">
        <v>486</v>
      </c>
      <c r="E201" s="23" t="s">
        <v>487</v>
      </c>
      <c r="F201" s="209"/>
      <c r="G201" s="210"/>
      <c r="H201" s="211"/>
      <c r="I201" s="212">
        <v>40</v>
      </c>
      <c r="J201" s="81" t="s">
        <v>129</v>
      </c>
      <c r="K201" s="213">
        <f t="shared" si="24"/>
        <v>0</v>
      </c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  <c r="Y201" s="214"/>
      <c r="Z201" s="214"/>
      <c r="AA201" s="214"/>
      <c r="AB201" s="214"/>
      <c r="AC201" s="214"/>
      <c r="AD201" s="214"/>
      <c r="AE201" s="214"/>
      <c r="AF201" s="214"/>
      <c r="AG201" s="214"/>
      <c r="AH201" s="214"/>
      <c r="AI201" s="214"/>
      <c r="AJ201" s="214"/>
      <c r="AK201" s="214"/>
      <c r="AL201" s="214"/>
      <c r="AM201" s="214"/>
      <c r="AN201" s="214"/>
      <c r="AO201" s="214"/>
      <c r="AP201" s="214"/>
      <c r="AQ201" s="214"/>
      <c r="AR201" s="214"/>
      <c r="AS201" s="214"/>
      <c r="AT201" s="214"/>
      <c r="AU201" s="214"/>
      <c r="AV201" s="214"/>
      <c r="AW201" s="214"/>
      <c r="AX201" s="214"/>
      <c r="AY201" s="214"/>
      <c r="AZ201" s="214"/>
      <c r="BA201" s="214"/>
      <c r="BB201" s="214"/>
      <c r="BC201" s="214"/>
      <c r="BD201" s="214"/>
      <c r="BE201" s="214"/>
      <c r="BF201" s="214"/>
      <c r="BG201" s="214"/>
      <c r="BH201" s="214"/>
      <c r="BI201" s="214"/>
      <c r="BJ201" s="214"/>
      <c r="BK201" s="214"/>
      <c r="BL201" s="214"/>
      <c r="BM201" s="214"/>
      <c r="BN201" s="214"/>
      <c r="BO201" s="214"/>
      <c r="BP201" s="214"/>
      <c r="BQ201" s="214"/>
      <c r="BR201" s="214"/>
      <c r="BS201" s="214"/>
      <c r="BT201" s="214"/>
      <c r="BU201" s="214"/>
      <c r="BV201" s="214"/>
      <c r="BW201" s="214"/>
      <c r="BX201" s="214"/>
      <c r="BY201" s="214"/>
      <c r="BZ201" s="214"/>
      <c r="CA201" s="214"/>
    </row>
    <row r="202" spans="1:79" s="215" customFormat="1" ht="21" customHeight="1" x14ac:dyDescent="0.25">
      <c r="A202" s="117" t="s">
        <v>488</v>
      </c>
      <c r="B202" s="186" t="s">
        <v>50</v>
      </c>
      <c r="C202" s="186" t="s">
        <v>327</v>
      </c>
      <c r="D202" s="187" t="s">
        <v>489</v>
      </c>
      <c r="E202" s="23" t="s">
        <v>490</v>
      </c>
      <c r="F202" s="209"/>
      <c r="G202" s="210"/>
      <c r="H202" s="211"/>
      <c r="I202" s="212">
        <v>6.2</v>
      </c>
      <c r="J202" s="81" t="s">
        <v>1271</v>
      </c>
      <c r="K202" s="213">
        <f t="shared" si="24"/>
        <v>0</v>
      </c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  <c r="Y202" s="214"/>
      <c r="Z202" s="214"/>
      <c r="AA202" s="214"/>
      <c r="AB202" s="214"/>
      <c r="AC202" s="214"/>
      <c r="AD202" s="214"/>
      <c r="AE202" s="214"/>
      <c r="AF202" s="214"/>
      <c r="AG202" s="214"/>
      <c r="AH202" s="214"/>
      <c r="AI202" s="214"/>
      <c r="AJ202" s="214"/>
      <c r="AK202" s="214"/>
      <c r="AL202" s="214"/>
      <c r="AM202" s="214"/>
      <c r="AN202" s="214"/>
      <c r="AO202" s="214"/>
      <c r="AP202" s="214"/>
      <c r="AQ202" s="214"/>
      <c r="AR202" s="214"/>
      <c r="AS202" s="214"/>
      <c r="AT202" s="214"/>
      <c r="AU202" s="214"/>
      <c r="AV202" s="214"/>
      <c r="AW202" s="214"/>
      <c r="AX202" s="214"/>
      <c r="AY202" s="214"/>
      <c r="AZ202" s="214"/>
      <c r="BA202" s="214"/>
      <c r="BB202" s="214"/>
      <c r="BC202" s="214"/>
      <c r="BD202" s="214"/>
      <c r="BE202" s="214"/>
      <c r="BF202" s="214"/>
      <c r="BG202" s="214"/>
      <c r="BH202" s="214"/>
      <c r="BI202" s="214"/>
      <c r="BJ202" s="214"/>
      <c r="BK202" s="214"/>
      <c r="BL202" s="214"/>
      <c r="BM202" s="214"/>
      <c r="BN202" s="214"/>
      <c r="BO202" s="214"/>
      <c r="BP202" s="214"/>
      <c r="BQ202" s="214"/>
      <c r="BR202" s="214"/>
      <c r="BS202" s="214"/>
      <c r="BT202" s="214"/>
      <c r="BU202" s="214"/>
      <c r="BV202" s="214"/>
      <c r="BW202" s="214"/>
      <c r="BX202" s="214"/>
      <c r="BY202" s="214"/>
      <c r="BZ202" s="214"/>
      <c r="CA202" s="214"/>
    </row>
    <row r="203" spans="1:79" s="215" customFormat="1" ht="21" customHeight="1" x14ac:dyDescent="0.25">
      <c r="A203" s="117" t="s">
        <v>491</v>
      </c>
      <c r="B203" s="186" t="s">
        <v>28</v>
      </c>
      <c r="C203" s="186" t="s">
        <v>332</v>
      </c>
      <c r="D203" s="187" t="s">
        <v>411</v>
      </c>
      <c r="E203" s="23" t="s">
        <v>492</v>
      </c>
      <c r="F203" s="209"/>
      <c r="G203" s="210"/>
      <c r="H203" s="211"/>
      <c r="I203" s="212">
        <v>60</v>
      </c>
      <c r="J203" s="81" t="s">
        <v>32</v>
      </c>
      <c r="K203" s="213">
        <f t="shared" si="24"/>
        <v>0</v>
      </c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  <c r="Y203" s="214"/>
      <c r="Z203" s="214"/>
      <c r="AA203" s="214"/>
      <c r="AB203" s="214"/>
      <c r="AC203" s="214"/>
      <c r="AD203" s="214"/>
      <c r="AE203" s="214"/>
      <c r="AF203" s="214"/>
      <c r="AG203" s="214"/>
      <c r="AH203" s="214"/>
      <c r="AI203" s="214"/>
      <c r="AJ203" s="214"/>
      <c r="AK203" s="214"/>
      <c r="AL203" s="214"/>
      <c r="AM203" s="214"/>
      <c r="AN203" s="214"/>
      <c r="AO203" s="214"/>
      <c r="AP203" s="214"/>
      <c r="AQ203" s="214"/>
      <c r="AR203" s="214"/>
      <c r="AS203" s="214"/>
      <c r="AT203" s="214"/>
      <c r="AU203" s="214"/>
      <c r="AV203" s="214"/>
      <c r="AW203" s="214"/>
      <c r="AX203" s="214"/>
      <c r="AY203" s="214"/>
      <c r="AZ203" s="214"/>
      <c r="BA203" s="214"/>
      <c r="BB203" s="214"/>
      <c r="BC203" s="214"/>
      <c r="BD203" s="214"/>
      <c r="BE203" s="214"/>
      <c r="BF203" s="214"/>
      <c r="BG203" s="214"/>
      <c r="BH203" s="214"/>
      <c r="BI203" s="214"/>
      <c r="BJ203" s="214"/>
      <c r="BK203" s="214"/>
      <c r="BL203" s="214"/>
      <c r="BM203" s="214"/>
      <c r="BN203" s="214"/>
      <c r="BO203" s="214"/>
      <c r="BP203" s="214"/>
      <c r="BQ203" s="214"/>
      <c r="BR203" s="214"/>
      <c r="BS203" s="214"/>
      <c r="BT203" s="214"/>
      <c r="BU203" s="214"/>
      <c r="BV203" s="214"/>
      <c r="BW203" s="214"/>
      <c r="BX203" s="214"/>
      <c r="BY203" s="214"/>
      <c r="BZ203" s="214"/>
      <c r="CA203" s="214"/>
    </row>
    <row r="204" spans="1:79" s="215" customFormat="1" ht="21" customHeight="1" x14ac:dyDescent="0.25">
      <c r="A204" s="117" t="s">
        <v>493</v>
      </c>
      <c r="B204" s="186" t="s">
        <v>45</v>
      </c>
      <c r="C204" s="186" t="s">
        <v>46</v>
      </c>
      <c r="D204" s="187" t="s">
        <v>494</v>
      </c>
      <c r="E204" s="23" t="s">
        <v>495</v>
      </c>
      <c r="F204" s="209"/>
      <c r="G204" s="210"/>
      <c r="H204" s="211"/>
      <c r="I204" s="212">
        <v>4</v>
      </c>
      <c r="J204" s="81" t="s">
        <v>496</v>
      </c>
      <c r="K204" s="213">
        <f t="shared" si="24"/>
        <v>0</v>
      </c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  <c r="Y204" s="214"/>
      <c r="Z204" s="214"/>
      <c r="AA204" s="214"/>
      <c r="AB204" s="214"/>
      <c r="AC204" s="214"/>
      <c r="AD204" s="214"/>
      <c r="AE204" s="214"/>
      <c r="AF204" s="214"/>
      <c r="AG204" s="214"/>
      <c r="AH204" s="214"/>
      <c r="AI204" s="214"/>
      <c r="AJ204" s="214"/>
      <c r="AK204" s="214"/>
      <c r="AL204" s="214"/>
      <c r="AM204" s="214"/>
      <c r="AN204" s="214"/>
      <c r="AO204" s="214"/>
      <c r="AP204" s="214"/>
      <c r="AQ204" s="214"/>
      <c r="AR204" s="214"/>
      <c r="AS204" s="214"/>
      <c r="AT204" s="214"/>
      <c r="AU204" s="214"/>
      <c r="AV204" s="214"/>
      <c r="AW204" s="214"/>
      <c r="AX204" s="214"/>
      <c r="AY204" s="214"/>
      <c r="AZ204" s="214"/>
      <c r="BA204" s="214"/>
      <c r="BB204" s="214"/>
      <c r="BC204" s="214"/>
      <c r="BD204" s="214"/>
      <c r="BE204" s="214"/>
      <c r="BF204" s="214"/>
      <c r="BG204" s="214"/>
      <c r="BH204" s="214"/>
      <c r="BI204" s="214"/>
      <c r="BJ204" s="214"/>
      <c r="BK204" s="214"/>
      <c r="BL204" s="214"/>
      <c r="BM204" s="214"/>
      <c r="BN204" s="214"/>
      <c r="BO204" s="214"/>
      <c r="BP204" s="214"/>
      <c r="BQ204" s="214"/>
      <c r="BR204" s="214"/>
      <c r="BS204" s="214"/>
      <c r="BT204" s="214"/>
      <c r="BU204" s="214"/>
      <c r="BV204" s="214"/>
      <c r="BW204" s="214"/>
      <c r="BX204" s="214"/>
      <c r="BY204" s="214"/>
      <c r="BZ204" s="214"/>
      <c r="CA204" s="214"/>
    </row>
    <row r="205" spans="1:79" s="9" customFormat="1" ht="18.95" customHeight="1" x14ac:dyDescent="0.25">
      <c r="A205" s="106"/>
      <c r="B205" s="195"/>
      <c r="C205" s="195"/>
      <c r="D205" s="196"/>
      <c r="E205" s="93" t="s">
        <v>497</v>
      </c>
      <c r="F205" s="143"/>
      <c r="G205" s="95"/>
      <c r="H205" s="94"/>
      <c r="I205" s="42"/>
      <c r="J205" s="97"/>
      <c r="K205" s="72">
        <f t="shared" ref="K205:K216" si="35">G205*I205</f>
        <v>0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</row>
    <row r="206" spans="1:79" s="2" customFormat="1" ht="26.25" customHeight="1" x14ac:dyDescent="0.15">
      <c r="A206" s="24" t="s">
        <v>16</v>
      </c>
      <c r="B206" s="193" t="s">
        <v>17</v>
      </c>
      <c r="C206" s="193"/>
      <c r="D206" s="194" t="s">
        <v>18</v>
      </c>
      <c r="E206" s="38" t="s">
        <v>19</v>
      </c>
      <c r="F206" s="102" t="s">
        <v>20</v>
      </c>
      <c r="G206" s="38" t="s">
        <v>21</v>
      </c>
      <c r="H206" s="24" t="s">
        <v>22</v>
      </c>
      <c r="I206" s="107" t="s">
        <v>23</v>
      </c>
      <c r="J206" s="81" t="s">
        <v>349</v>
      </c>
      <c r="K206" s="72"/>
    </row>
    <row r="207" spans="1:79" s="215" customFormat="1" ht="21" customHeight="1" x14ac:dyDescent="0.25">
      <c r="A207" s="117" t="s">
        <v>498</v>
      </c>
      <c r="B207" s="186" t="s">
        <v>50</v>
      </c>
      <c r="C207" s="186" t="s">
        <v>51</v>
      </c>
      <c r="D207" s="187" t="s">
        <v>175</v>
      </c>
      <c r="E207" s="23" t="s">
        <v>499</v>
      </c>
      <c r="F207" s="209"/>
      <c r="G207" s="210"/>
      <c r="H207" s="211"/>
      <c r="I207" s="212">
        <v>3.7</v>
      </c>
      <c r="J207" s="81" t="s">
        <v>500</v>
      </c>
      <c r="K207" s="213">
        <f t="shared" si="35"/>
        <v>0</v>
      </c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  <c r="Y207" s="214"/>
      <c r="Z207" s="214"/>
      <c r="AA207" s="214"/>
      <c r="AB207" s="214"/>
      <c r="AC207" s="214"/>
      <c r="AD207" s="214"/>
      <c r="AE207" s="214"/>
      <c r="AF207" s="214"/>
      <c r="AG207" s="214"/>
      <c r="AH207" s="214"/>
      <c r="AI207" s="214"/>
      <c r="AJ207" s="214"/>
      <c r="AK207" s="214"/>
      <c r="AL207" s="214"/>
      <c r="AM207" s="214"/>
      <c r="AN207" s="214"/>
      <c r="AO207" s="214"/>
      <c r="AP207" s="214"/>
      <c r="AQ207" s="214"/>
      <c r="AR207" s="214"/>
      <c r="AS207" s="214"/>
      <c r="AT207" s="214"/>
      <c r="AU207" s="214"/>
      <c r="AV207" s="214"/>
      <c r="AW207" s="214"/>
      <c r="AX207" s="214"/>
      <c r="AY207" s="214"/>
      <c r="AZ207" s="214"/>
      <c r="BA207" s="214"/>
      <c r="BB207" s="214"/>
      <c r="BC207" s="214"/>
      <c r="BD207" s="214"/>
      <c r="BE207" s="214"/>
      <c r="BF207" s="214"/>
      <c r="BG207" s="214"/>
      <c r="BH207" s="214"/>
      <c r="BI207" s="214"/>
      <c r="BJ207" s="214"/>
      <c r="BK207" s="214"/>
      <c r="BL207" s="214"/>
      <c r="BM207" s="214"/>
      <c r="BN207" s="214"/>
      <c r="BO207" s="214"/>
      <c r="BP207" s="214"/>
      <c r="BQ207" s="214"/>
      <c r="BR207" s="214"/>
      <c r="BS207" s="214"/>
      <c r="BT207" s="214"/>
      <c r="BU207" s="214"/>
      <c r="BV207" s="214"/>
      <c r="BW207" s="214"/>
      <c r="BX207" s="214"/>
      <c r="BY207" s="214"/>
      <c r="BZ207" s="214"/>
      <c r="CA207" s="214"/>
    </row>
    <row r="208" spans="1:79" s="215" customFormat="1" ht="21" customHeight="1" x14ac:dyDescent="0.25">
      <c r="A208" s="117" t="s">
        <v>501</v>
      </c>
      <c r="B208" s="186" t="s">
        <v>50</v>
      </c>
      <c r="C208" s="186" t="s">
        <v>51</v>
      </c>
      <c r="D208" s="187" t="s">
        <v>1292</v>
      </c>
      <c r="E208" s="23" t="s">
        <v>1293</v>
      </c>
      <c r="F208" s="209"/>
      <c r="G208" s="210"/>
      <c r="H208" s="211"/>
      <c r="I208" s="212">
        <v>3.7</v>
      </c>
      <c r="J208" s="81" t="s">
        <v>87</v>
      </c>
      <c r="K208" s="213">
        <f t="shared" si="35"/>
        <v>0</v>
      </c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  <c r="AA208" s="214"/>
      <c r="AB208" s="214"/>
      <c r="AC208" s="214"/>
      <c r="AD208" s="214"/>
      <c r="AE208" s="214"/>
      <c r="AF208" s="214"/>
      <c r="AG208" s="214"/>
      <c r="AH208" s="214"/>
      <c r="AI208" s="214"/>
      <c r="AJ208" s="214"/>
      <c r="AK208" s="214"/>
      <c r="AL208" s="214"/>
      <c r="AM208" s="214"/>
      <c r="AN208" s="214"/>
      <c r="AO208" s="214"/>
      <c r="AP208" s="214"/>
      <c r="AQ208" s="214"/>
      <c r="AR208" s="214"/>
      <c r="AS208" s="214"/>
      <c r="AT208" s="214"/>
      <c r="AU208" s="214"/>
      <c r="AV208" s="214"/>
      <c r="AW208" s="214"/>
      <c r="AX208" s="214"/>
      <c r="AY208" s="214"/>
      <c r="AZ208" s="214"/>
      <c r="BA208" s="214"/>
      <c r="BB208" s="214"/>
      <c r="BC208" s="214"/>
      <c r="BD208" s="214"/>
      <c r="BE208" s="214"/>
      <c r="BF208" s="214"/>
      <c r="BG208" s="214"/>
      <c r="BH208" s="214"/>
      <c r="BI208" s="214"/>
      <c r="BJ208" s="214"/>
      <c r="BK208" s="214"/>
      <c r="BL208" s="214"/>
      <c r="BM208" s="214"/>
      <c r="BN208" s="214"/>
      <c r="BO208" s="214"/>
      <c r="BP208" s="214"/>
      <c r="BQ208" s="214"/>
      <c r="BR208" s="214"/>
      <c r="BS208" s="214"/>
      <c r="BT208" s="214"/>
      <c r="BU208" s="214"/>
      <c r="BV208" s="214"/>
      <c r="BW208" s="214"/>
      <c r="BX208" s="214"/>
      <c r="BY208" s="214"/>
      <c r="BZ208" s="214"/>
      <c r="CA208" s="214"/>
    </row>
    <row r="209" spans="1:79" s="215" customFormat="1" ht="21" customHeight="1" x14ac:dyDescent="0.25">
      <c r="A209" s="117" t="s">
        <v>502</v>
      </c>
      <c r="B209" s="186" t="s">
        <v>50</v>
      </c>
      <c r="C209" s="186" t="s">
        <v>503</v>
      </c>
      <c r="D209" s="187" t="s">
        <v>196</v>
      </c>
      <c r="E209" s="23" t="s">
        <v>504</v>
      </c>
      <c r="F209" s="209"/>
      <c r="G209" s="210"/>
      <c r="H209" s="211"/>
      <c r="I209" s="212">
        <v>3.9</v>
      </c>
      <c r="J209" s="81"/>
      <c r="K209" s="213">
        <f t="shared" si="35"/>
        <v>0</v>
      </c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  <c r="Y209" s="214"/>
      <c r="Z209" s="214"/>
      <c r="AA209" s="214"/>
      <c r="AB209" s="214"/>
      <c r="AC209" s="214"/>
      <c r="AD209" s="214"/>
      <c r="AE209" s="214"/>
      <c r="AF209" s="214"/>
      <c r="AG209" s="214"/>
      <c r="AH209" s="214"/>
      <c r="AI209" s="214"/>
      <c r="AJ209" s="214"/>
      <c r="AK209" s="214"/>
      <c r="AL209" s="214"/>
      <c r="AM209" s="214"/>
      <c r="AN209" s="214"/>
      <c r="AO209" s="214"/>
      <c r="AP209" s="214"/>
      <c r="AQ209" s="214"/>
      <c r="AR209" s="214"/>
      <c r="AS209" s="214"/>
      <c r="AT209" s="214"/>
      <c r="AU209" s="214"/>
      <c r="AV209" s="214"/>
      <c r="AW209" s="214"/>
      <c r="AX209" s="214"/>
      <c r="AY209" s="214"/>
      <c r="AZ209" s="214"/>
      <c r="BA209" s="214"/>
      <c r="BB209" s="214"/>
      <c r="BC209" s="214"/>
      <c r="BD209" s="214"/>
      <c r="BE209" s="214"/>
      <c r="BF209" s="214"/>
      <c r="BG209" s="214"/>
      <c r="BH209" s="214"/>
      <c r="BI209" s="214"/>
      <c r="BJ209" s="214"/>
      <c r="BK209" s="214"/>
      <c r="BL209" s="214"/>
      <c r="BM209" s="214"/>
      <c r="BN209" s="214"/>
      <c r="BO209" s="214"/>
      <c r="BP209" s="214"/>
      <c r="BQ209" s="214"/>
      <c r="BR209" s="214"/>
      <c r="BS209" s="214"/>
      <c r="BT209" s="214"/>
      <c r="BU209" s="214"/>
      <c r="BV209" s="214"/>
      <c r="BW209" s="214"/>
      <c r="BX209" s="214"/>
      <c r="BY209" s="214"/>
      <c r="BZ209" s="214"/>
      <c r="CA209" s="214"/>
    </row>
    <row r="210" spans="1:79" s="215" customFormat="1" ht="21" customHeight="1" x14ac:dyDescent="0.25">
      <c r="A210" s="117" t="s">
        <v>505</v>
      </c>
      <c r="B210" s="186" t="s">
        <v>28</v>
      </c>
      <c r="C210" s="186" t="s">
        <v>237</v>
      </c>
      <c r="D210" s="187" t="s">
        <v>196</v>
      </c>
      <c r="E210" s="23" t="s">
        <v>506</v>
      </c>
      <c r="F210" s="209"/>
      <c r="G210" s="210"/>
      <c r="H210" s="211"/>
      <c r="I210" s="212">
        <v>29</v>
      </c>
      <c r="J210" s="81"/>
      <c r="K210" s="213">
        <f t="shared" si="35"/>
        <v>0</v>
      </c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  <c r="Y210" s="214"/>
      <c r="Z210" s="214"/>
      <c r="AA210" s="214"/>
      <c r="AB210" s="214"/>
      <c r="AC210" s="214"/>
      <c r="AD210" s="214"/>
      <c r="AE210" s="214"/>
      <c r="AF210" s="214"/>
      <c r="AG210" s="214"/>
      <c r="AH210" s="214"/>
      <c r="AI210" s="214"/>
      <c r="AJ210" s="214"/>
      <c r="AK210" s="214"/>
      <c r="AL210" s="214"/>
      <c r="AM210" s="214"/>
      <c r="AN210" s="214"/>
      <c r="AO210" s="214"/>
      <c r="AP210" s="214"/>
      <c r="AQ210" s="214"/>
      <c r="AR210" s="214"/>
      <c r="AS210" s="214"/>
      <c r="AT210" s="214"/>
      <c r="AU210" s="214"/>
      <c r="AV210" s="214"/>
      <c r="AW210" s="214"/>
      <c r="AX210" s="214"/>
      <c r="AY210" s="214"/>
      <c r="AZ210" s="214"/>
      <c r="BA210" s="214"/>
      <c r="BB210" s="214"/>
      <c r="BC210" s="214"/>
      <c r="BD210" s="214"/>
      <c r="BE210" s="214"/>
      <c r="BF210" s="214"/>
      <c r="BG210" s="214"/>
      <c r="BH210" s="214"/>
      <c r="BI210" s="214"/>
      <c r="BJ210" s="214"/>
      <c r="BK210" s="214"/>
      <c r="BL210" s="214"/>
      <c r="BM210" s="214"/>
      <c r="BN210" s="214"/>
      <c r="BO210" s="214"/>
      <c r="BP210" s="214"/>
      <c r="BQ210" s="214"/>
      <c r="BR210" s="214"/>
      <c r="BS210" s="214"/>
      <c r="BT210" s="214"/>
      <c r="BU210" s="214"/>
      <c r="BV210" s="214"/>
      <c r="BW210" s="214"/>
      <c r="BX210" s="214"/>
      <c r="BY210" s="214"/>
      <c r="BZ210" s="214"/>
      <c r="CA210" s="214"/>
    </row>
    <row r="211" spans="1:79" s="215" customFormat="1" ht="21" customHeight="1" x14ac:dyDescent="0.25">
      <c r="A211" s="117" t="s">
        <v>507</v>
      </c>
      <c r="B211" s="186" t="s">
        <v>50</v>
      </c>
      <c r="C211" s="186" t="s">
        <v>195</v>
      </c>
      <c r="D211" s="187" t="s">
        <v>196</v>
      </c>
      <c r="E211" s="23" t="s">
        <v>197</v>
      </c>
      <c r="F211" s="209"/>
      <c r="G211" s="210"/>
      <c r="H211" s="211"/>
      <c r="I211" s="212">
        <v>3.9</v>
      </c>
      <c r="J211" s="81" t="s">
        <v>198</v>
      </c>
      <c r="K211" s="213">
        <f t="shared" si="35"/>
        <v>0</v>
      </c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  <c r="Y211" s="214"/>
      <c r="Z211" s="214"/>
      <c r="AA211" s="214"/>
      <c r="AB211" s="214"/>
      <c r="AC211" s="214"/>
      <c r="AD211" s="214"/>
      <c r="AE211" s="214"/>
      <c r="AF211" s="214"/>
      <c r="AG211" s="214"/>
      <c r="AH211" s="214"/>
      <c r="AI211" s="214"/>
      <c r="AJ211" s="214"/>
      <c r="AK211" s="214"/>
      <c r="AL211" s="214"/>
      <c r="AM211" s="214"/>
      <c r="AN211" s="214"/>
      <c r="AO211" s="214"/>
      <c r="AP211" s="214"/>
      <c r="AQ211" s="214"/>
      <c r="AR211" s="214"/>
      <c r="AS211" s="214"/>
      <c r="AT211" s="214"/>
      <c r="AU211" s="214"/>
      <c r="AV211" s="214"/>
      <c r="AW211" s="214"/>
      <c r="AX211" s="214"/>
      <c r="AY211" s="214"/>
      <c r="AZ211" s="214"/>
      <c r="BA211" s="214"/>
      <c r="BB211" s="214"/>
      <c r="BC211" s="214"/>
      <c r="BD211" s="214"/>
      <c r="BE211" s="214"/>
      <c r="BF211" s="214"/>
      <c r="BG211" s="214"/>
      <c r="BH211" s="214"/>
      <c r="BI211" s="214"/>
      <c r="BJ211" s="214"/>
      <c r="BK211" s="214"/>
      <c r="BL211" s="214"/>
      <c r="BM211" s="214"/>
      <c r="BN211" s="214"/>
      <c r="BO211" s="214"/>
      <c r="BP211" s="214"/>
      <c r="BQ211" s="214"/>
      <c r="BR211" s="214"/>
      <c r="BS211" s="214"/>
      <c r="BT211" s="214"/>
      <c r="BU211" s="214"/>
      <c r="BV211" s="214"/>
      <c r="BW211" s="214"/>
      <c r="BX211" s="214"/>
      <c r="BY211" s="214"/>
      <c r="BZ211" s="214"/>
      <c r="CA211" s="214"/>
    </row>
    <row r="212" spans="1:79" s="215" customFormat="1" ht="21" customHeight="1" x14ac:dyDescent="0.25">
      <c r="A212" s="117" t="s">
        <v>508</v>
      </c>
      <c r="B212" s="186" t="s">
        <v>50</v>
      </c>
      <c r="C212" s="186" t="s">
        <v>195</v>
      </c>
      <c r="D212" s="187" t="s">
        <v>196</v>
      </c>
      <c r="E212" s="23" t="s">
        <v>509</v>
      </c>
      <c r="F212" s="209"/>
      <c r="G212" s="210"/>
      <c r="H212" s="211"/>
      <c r="I212" s="212">
        <v>3.9</v>
      </c>
      <c r="J212" s="81" t="s">
        <v>198</v>
      </c>
      <c r="K212" s="213">
        <f t="shared" si="35"/>
        <v>0</v>
      </c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  <c r="Y212" s="214"/>
      <c r="Z212" s="214"/>
      <c r="AA212" s="214"/>
      <c r="AB212" s="214"/>
      <c r="AC212" s="214"/>
      <c r="AD212" s="214"/>
      <c r="AE212" s="214"/>
      <c r="AF212" s="214"/>
      <c r="AG212" s="214"/>
      <c r="AH212" s="214"/>
      <c r="AI212" s="214"/>
      <c r="AJ212" s="214"/>
      <c r="AK212" s="214"/>
      <c r="AL212" s="214"/>
      <c r="AM212" s="214"/>
      <c r="AN212" s="214"/>
      <c r="AO212" s="214"/>
      <c r="AP212" s="214"/>
      <c r="AQ212" s="214"/>
      <c r="AR212" s="214"/>
      <c r="AS212" s="214"/>
      <c r="AT212" s="214"/>
      <c r="AU212" s="214"/>
      <c r="AV212" s="214"/>
      <c r="AW212" s="214"/>
      <c r="AX212" s="214"/>
      <c r="AY212" s="214"/>
      <c r="AZ212" s="214"/>
      <c r="BA212" s="214"/>
      <c r="BB212" s="214"/>
      <c r="BC212" s="214"/>
      <c r="BD212" s="214"/>
      <c r="BE212" s="214"/>
      <c r="BF212" s="214"/>
      <c r="BG212" s="214"/>
      <c r="BH212" s="214"/>
      <c r="BI212" s="214"/>
      <c r="BJ212" s="214"/>
      <c r="BK212" s="214"/>
      <c r="BL212" s="214"/>
      <c r="BM212" s="214"/>
      <c r="BN212" s="214"/>
      <c r="BO212" s="214"/>
      <c r="BP212" s="214"/>
      <c r="BQ212" s="214"/>
      <c r="BR212" s="214"/>
      <c r="BS212" s="214"/>
      <c r="BT212" s="214"/>
      <c r="BU212" s="214"/>
      <c r="BV212" s="214"/>
      <c r="BW212" s="214"/>
      <c r="BX212" s="214"/>
      <c r="BY212" s="214"/>
      <c r="BZ212" s="214"/>
      <c r="CA212" s="214"/>
    </row>
    <row r="213" spans="1:79" s="215" customFormat="1" ht="21" customHeight="1" x14ac:dyDescent="0.25">
      <c r="A213" s="117" t="s">
        <v>510</v>
      </c>
      <c r="B213" s="186" t="s">
        <v>50</v>
      </c>
      <c r="C213" s="186" t="s">
        <v>237</v>
      </c>
      <c r="D213" s="187" t="s">
        <v>196</v>
      </c>
      <c r="E213" s="23" t="s">
        <v>511</v>
      </c>
      <c r="F213" s="209"/>
      <c r="G213" s="210"/>
      <c r="H213" s="211"/>
      <c r="I213" s="212">
        <v>29</v>
      </c>
      <c r="J213" s="81"/>
      <c r="K213" s="213">
        <f t="shared" si="35"/>
        <v>0</v>
      </c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  <c r="AA213" s="214"/>
      <c r="AB213" s="214"/>
      <c r="AC213" s="214"/>
      <c r="AD213" s="214"/>
      <c r="AE213" s="214"/>
      <c r="AF213" s="214"/>
      <c r="AG213" s="214"/>
      <c r="AH213" s="214"/>
      <c r="AI213" s="214"/>
      <c r="AJ213" s="214"/>
      <c r="AK213" s="214"/>
      <c r="AL213" s="214"/>
      <c r="AM213" s="214"/>
      <c r="AN213" s="214"/>
      <c r="AO213" s="214"/>
      <c r="AP213" s="214"/>
      <c r="AQ213" s="214"/>
      <c r="AR213" s="214"/>
      <c r="AS213" s="214"/>
      <c r="AT213" s="214"/>
      <c r="AU213" s="214"/>
      <c r="AV213" s="214"/>
      <c r="AW213" s="214"/>
      <c r="AX213" s="214"/>
      <c r="AY213" s="214"/>
      <c r="AZ213" s="214"/>
      <c r="BA213" s="214"/>
      <c r="BB213" s="214"/>
      <c r="BC213" s="214"/>
      <c r="BD213" s="214"/>
      <c r="BE213" s="214"/>
      <c r="BF213" s="214"/>
      <c r="BG213" s="214"/>
      <c r="BH213" s="214"/>
      <c r="BI213" s="214"/>
      <c r="BJ213" s="214"/>
      <c r="BK213" s="214"/>
      <c r="BL213" s="214"/>
      <c r="BM213" s="214"/>
      <c r="BN213" s="214"/>
      <c r="BO213" s="214"/>
      <c r="BP213" s="214"/>
      <c r="BQ213" s="214"/>
      <c r="BR213" s="214"/>
      <c r="BS213" s="214"/>
      <c r="BT213" s="214"/>
      <c r="BU213" s="214"/>
      <c r="BV213" s="214"/>
      <c r="BW213" s="214"/>
      <c r="BX213" s="214"/>
      <c r="BY213" s="214"/>
      <c r="BZ213" s="214"/>
      <c r="CA213" s="214"/>
    </row>
    <row r="214" spans="1:79" s="215" customFormat="1" ht="21" customHeight="1" x14ac:dyDescent="0.25">
      <c r="A214" s="117" t="s">
        <v>512</v>
      </c>
      <c r="B214" s="186" t="s">
        <v>50</v>
      </c>
      <c r="C214" s="186" t="s">
        <v>200</v>
      </c>
      <c r="D214" s="187" t="s">
        <v>196</v>
      </c>
      <c r="E214" s="23" t="s">
        <v>513</v>
      </c>
      <c r="F214" s="209"/>
      <c r="G214" s="210"/>
      <c r="H214" s="211"/>
      <c r="I214" s="212">
        <v>3.9</v>
      </c>
      <c r="J214" s="81" t="s">
        <v>514</v>
      </c>
      <c r="K214" s="213">
        <f t="shared" si="35"/>
        <v>0</v>
      </c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  <c r="AA214" s="214"/>
      <c r="AB214" s="214"/>
      <c r="AC214" s="214"/>
      <c r="AD214" s="214"/>
      <c r="AE214" s="214"/>
      <c r="AF214" s="214"/>
      <c r="AG214" s="214"/>
      <c r="AH214" s="214"/>
      <c r="AI214" s="214"/>
      <c r="AJ214" s="214"/>
      <c r="AK214" s="214"/>
      <c r="AL214" s="214"/>
      <c r="AM214" s="214"/>
      <c r="AN214" s="214"/>
      <c r="AO214" s="214"/>
      <c r="AP214" s="214"/>
      <c r="AQ214" s="214"/>
      <c r="AR214" s="214"/>
      <c r="AS214" s="214"/>
      <c r="AT214" s="214"/>
      <c r="AU214" s="214"/>
      <c r="AV214" s="214"/>
      <c r="AW214" s="214"/>
      <c r="AX214" s="214"/>
      <c r="AY214" s="214"/>
      <c r="AZ214" s="214"/>
      <c r="BA214" s="214"/>
      <c r="BB214" s="214"/>
      <c r="BC214" s="214"/>
      <c r="BD214" s="214"/>
      <c r="BE214" s="214"/>
      <c r="BF214" s="214"/>
      <c r="BG214" s="214"/>
      <c r="BH214" s="214"/>
      <c r="BI214" s="214"/>
      <c r="BJ214" s="214"/>
      <c r="BK214" s="214"/>
      <c r="BL214" s="214"/>
      <c r="BM214" s="214"/>
      <c r="BN214" s="214"/>
      <c r="BO214" s="214"/>
      <c r="BP214" s="214"/>
      <c r="BQ214" s="214"/>
      <c r="BR214" s="214"/>
      <c r="BS214" s="214"/>
      <c r="BT214" s="214"/>
      <c r="BU214" s="214"/>
      <c r="BV214" s="214"/>
      <c r="BW214" s="214"/>
      <c r="BX214" s="214"/>
      <c r="BY214" s="214"/>
      <c r="BZ214" s="214"/>
      <c r="CA214" s="214"/>
    </row>
    <row r="215" spans="1:79" s="215" customFormat="1" ht="21" customHeight="1" x14ac:dyDescent="0.25">
      <c r="A215" s="117" t="s">
        <v>515</v>
      </c>
      <c r="B215" s="186" t="s">
        <v>50</v>
      </c>
      <c r="C215" s="186" t="s">
        <v>237</v>
      </c>
      <c r="D215" s="187" t="s">
        <v>196</v>
      </c>
      <c r="E215" s="23" t="s">
        <v>516</v>
      </c>
      <c r="F215" s="209"/>
      <c r="G215" s="210"/>
      <c r="H215" s="211"/>
      <c r="I215" s="212">
        <v>29</v>
      </c>
      <c r="J215" s="81"/>
      <c r="K215" s="213">
        <f t="shared" ref="K215" si="36">G215*I215</f>
        <v>0</v>
      </c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  <c r="Y215" s="214"/>
      <c r="Z215" s="214"/>
      <c r="AA215" s="214"/>
      <c r="AB215" s="214"/>
      <c r="AC215" s="214"/>
      <c r="AD215" s="214"/>
      <c r="AE215" s="214"/>
      <c r="AF215" s="214"/>
      <c r="AG215" s="214"/>
      <c r="AH215" s="214"/>
      <c r="AI215" s="214"/>
      <c r="AJ215" s="214"/>
      <c r="AK215" s="214"/>
      <c r="AL215" s="214"/>
      <c r="AM215" s="214"/>
      <c r="AN215" s="214"/>
      <c r="AO215" s="214"/>
      <c r="AP215" s="214"/>
      <c r="AQ215" s="214"/>
      <c r="AR215" s="214"/>
      <c r="AS215" s="214"/>
      <c r="AT215" s="214"/>
      <c r="AU215" s="214"/>
      <c r="AV215" s="214"/>
      <c r="AW215" s="214"/>
      <c r="AX215" s="214"/>
      <c r="AY215" s="214"/>
      <c r="AZ215" s="214"/>
      <c r="BA215" s="214"/>
      <c r="BB215" s="214"/>
      <c r="BC215" s="214"/>
      <c r="BD215" s="214"/>
      <c r="BE215" s="214"/>
      <c r="BF215" s="214"/>
      <c r="BG215" s="214"/>
      <c r="BH215" s="214"/>
      <c r="BI215" s="214"/>
      <c r="BJ215" s="214"/>
      <c r="BK215" s="214"/>
      <c r="BL215" s="214"/>
      <c r="BM215" s="214"/>
      <c r="BN215" s="214"/>
      <c r="BO215" s="214"/>
      <c r="BP215" s="214"/>
      <c r="BQ215" s="214"/>
      <c r="BR215" s="214"/>
      <c r="BS215" s="214"/>
      <c r="BT215" s="214"/>
      <c r="BU215" s="214"/>
      <c r="BV215" s="214"/>
      <c r="BW215" s="214"/>
      <c r="BX215" s="214"/>
      <c r="BY215" s="214"/>
      <c r="BZ215" s="214"/>
      <c r="CA215" s="214"/>
    </row>
    <row r="216" spans="1:79" s="215" customFormat="1" ht="21" customHeight="1" x14ac:dyDescent="0.25">
      <c r="A216" s="117" t="s">
        <v>517</v>
      </c>
      <c r="B216" s="186" t="s">
        <v>50</v>
      </c>
      <c r="C216" s="186" t="s">
        <v>195</v>
      </c>
      <c r="D216" s="187" t="s">
        <v>196</v>
      </c>
      <c r="E216" s="23" t="s">
        <v>518</v>
      </c>
      <c r="F216" s="209"/>
      <c r="G216" s="210"/>
      <c r="H216" s="211"/>
      <c r="I216" s="212">
        <v>3.9</v>
      </c>
      <c r="J216" s="81" t="s">
        <v>198</v>
      </c>
      <c r="K216" s="213">
        <f t="shared" si="35"/>
        <v>0</v>
      </c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  <c r="Y216" s="214"/>
      <c r="Z216" s="214"/>
      <c r="AA216" s="214"/>
      <c r="AB216" s="214"/>
      <c r="AC216" s="214"/>
      <c r="AD216" s="214"/>
      <c r="AE216" s="214"/>
      <c r="AF216" s="214"/>
      <c r="AG216" s="214"/>
      <c r="AH216" s="214"/>
      <c r="AI216" s="214"/>
      <c r="AJ216" s="214"/>
      <c r="AK216" s="214"/>
      <c r="AL216" s="214"/>
      <c r="AM216" s="214"/>
      <c r="AN216" s="214"/>
      <c r="AO216" s="214"/>
      <c r="AP216" s="214"/>
      <c r="AQ216" s="214"/>
      <c r="AR216" s="214"/>
      <c r="AS216" s="214"/>
      <c r="AT216" s="214"/>
      <c r="AU216" s="214"/>
      <c r="AV216" s="214"/>
      <c r="AW216" s="214"/>
      <c r="AX216" s="214"/>
      <c r="AY216" s="214"/>
      <c r="AZ216" s="214"/>
      <c r="BA216" s="214"/>
      <c r="BB216" s="214"/>
      <c r="BC216" s="214"/>
      <c r="BD216" s="214"/>
      <c r="BE216" s="214"/>
      <c r="BF216" s="214"/>
      <c r="BG216" s="214"/>
      <c r="BH216" s="214"/>
      <c r="BI216" s="214"/>
      <c r="BJ216" s="214"/>
      <c r="BK216" s="214"/>
      <c r="BL216" s="214"/>
      <c r="BM216" s="214"/>
      <c r="BN216" s="214"/>
      <c r="BO216" s="214"/>
      <c r="BP216" s="214"/>
      <c r="BQ216" s="214"/>
      <c r="BR216" s="214"/>
      <c r="BS216" s="214"/>
      <c r="BT216" s="214"/>
      <c r="BU216" s="214"/>
      <c r="BV216" s="214"/>
      <c r="BW216" s="214"/>
      <c r="BX216" s="214"/>
      <c r="BY216" s="214"/>
      <c r="BZ216" s="214"/>
      <c r="CA216" s="214"/>
    </row>
    <row r="217" spans="1:79" s="8" customFormat="1" ht="18.95" customHeight="1" x14ac:dyDescent="0.35">
      <c r="A217" s="41"/>
      <c r="B217" s="191"/>
      <c r="C217" s="191"/>
      <c r="D217" s="192"/>
      <c r="E217" s="16" t="s">
        <v>519</v>
      </c>
      <c r="F217" s="142"/>
      <c r="G217" s="70"/>
      <c r="H217" s="16"/>
      <c r="I217" s="16"/>
      <c r="J217" s="43"/>
      <c r="K217" s="72">
        <f t="shared" ref="K217:K284" si="37">G217*I217</f>
        <v>0</v>
      </c>
      <c r="L217" s="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</row>
    <row r="218" spans="1:79" s="2" customFormat="1" ht="18.95" customHeight="1" x14ac:dyDescent="0.15">
      <c r="A218" s="24" t="s">
        <v>16</v>
      </c>
      <c r="B218" s="193" t="s">
        <v>17</v>
      </c>
      <c r="C218" s="193"/>
      <c r="D218" s="194" t="s">
        <v>18</v>
      </c>
      <c r="E218" s="38" t="s">
        <v>19</v>
      </c>
      <c r="F218" s="102" t="s">
        <v>20</v>
      </c>
      <c r="G218" s="38" t="s">
        <v>21</v>
      </c>
      <c r="H218" s="24" t="s">
        <v>22</v>
      </c>
      <c r="I218" s="107" t="s">
        <v>23</v>
      </c>
      <c r="J218" s="101" t="s">
        <v>349</v>
      </c>
      <c r="K218" s="72" t="s">
        <v>2</v>
      </c>
    </row>
    <row r="219" spans="1:79" s="215" customFormat="1" ht="16.5" customHeight="1" x14ac:dyDescent="0.25">
      <c r="A219" s="117" t="s">
        <v>520</v>
      </c>
      <c r="B219" s="186" t="s">
        <v>50</v>
      </c>
      <c r="C219" s="186" t="s">
        <v>51</v>
      </c>
      <c r="D219" s="187" t="s">
        <v>190</v>
      </c>
      <c r="E219" s="23" t="s">
        <v>521</v>
      </c>
      <c r="F219" s="209"/>
      <c r="G219" s="210"/>
      <c r="H219" s="211"/>
      <c r="I219" s="212">
        <v>3.5</v>
      </c>
      <c r="J219" s="81"/>
      <c r="K219" s="213">
        <f t="shared" ref="K219:K236" si="38">G219*I219</f>
        <v>0</v>
      </c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  <c r="Y219" s="214"/>
      <c r="Z219" s="214"/>
      <c r="AA219" s="214"/>
      <c r="AB219" s="214"/>
      <c r="AC219" s="214"/>
      <c r="AD219" s="214"/>
      <c r="AE219" s="214"/>
      <c r="AF219" s="214"/>
      <c r="AG219" s="214"/>
      <c r="AH219" s="214"/>
      <c r="AI219" s="214"/>
      <c r="AJ219" s="214"/>
      <c r="AK219" s="214"/>
      <c r="AL219" s="214"/>
      <c r="AM219" s="214"/>
      <c r="AN219" s="214"/>
      <c r="AO219" s="214"/>
      <c r="AP219" s="214"/>
      <c r="AQ219" s="214"/>
      <c r="AR219" s="214"/>
      <c r="AS219" s="214"/>
      <c r="AT219" s="214"/>
      <c r="AU219" s="214"/>
      <c r="AV219" s="214"/>
      <c r="AW219" s="214"/>
      <c r="AX219" s="214"/>
      <c r="AY219" s="214"/>
      <c r="AZ219" s="214"/>
      <c r="BA219" s="214"/>
      <c r="BB219" s="214"/>
      <c r="BC219" s="214"/>
      <c r="BD219" s="214"/>
      <c r="BE219" s="214"/>
      <c r="BF219" s="214"/>
      <c r="BG219" s="214"/>
      <c r="BH219" s="214"/>
      <c r="BI219" s="214"/>
      <c r="BJ219" s="214"/>
      <c r="BK219" s="214"/>
      <c r="BL219" s="214"/>
      <c r="BM219" s="214"/>
      <c r="BN219" s="214"/>
      <c r="BO219" s="214"/>
      <c r="BP219" s="214"/>
      <c r="BQ219" s="214"/>
      <c r="BR219" s="214"/>
      <c r="BS219" s="214"/>
      <c r="BT219" s="214"/>
      <c r="BU219" s="214"/>
      <c r="BV219" s="214"/>
      <c r="BW219" s="214"/>
      <c r="BX219" s="214"/>
      <c r="BY219" s="214"/>
      <c r="BZ219" s="214"/>
      <c r="CA219" s="214"/>
    </row>
    <row r="220" spans="1:79" s="215" customFormat="1" ht="16.5" customHeight="1" x14ac:dyDescent="0.25">
      <c r="A220" s="117" t="s">
        <v>522</v>
      </c>
      <c r="B220" s="186" t="s">
        <v>50</v>
      </c>
      <c r="C220" s="186" t="s">
        <v>51</v>
      </c>
      <c r="D220" s="187" t="s">
        <v>523</v>
      </c>
      <c r="E220" s="23" t="s">
        <v>524</v>
      </c>
      <c r="F220" s="209"/>
      <c r="G220" s="210"/>
      <c r="H220" s="211"/>
      <c r="I220" s="212">
        <v>3.2</v>
      </c>
      <c r="J220" s="81"/>
      <c r="K220" s="213">
        <f t="shared" si="38"/>
        <v>0</v>
      </c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  <c r="Y220" s="214"/>
      <c r="Z220" s="214"/>
      <c r="AA220" s="214"/>
      <c r="AB220" s="214"/>
      <c r="AC220" s="214"/>
      <c r="AD220" s="214"/>
      <c r="AE220" s="214"/>
      <c r="AF220" s="214"/>
      <c r="AG220" s="214"/>
      <c r="AH220" s="214"/>
      <c r="AI220" s="214"/>
      <c r="AJ220" s="214"/>
      <c r="AK220" s="214"/>
      <c r="AL220" s="214"/>
      <c r="AM220" s="214"/>
      <c r="AN220" s="214"/>
      <c r="AO220" s="214"/>
      <c r="AP220" s="214"/>
      <c r="AQ220" s="214"/>
      <c r="AR220" s="214"/>
      <c r="AS220" s="214"/>
      <c r="AT220" s="214"/>
      <c r="AU220" s="214"/>
      <c r="AV220" s="214"/>
      <c r="AW220" s="214"/>
      <c r="AX220" s="214"/>
      <c r="AY220" s="214"/>
      <c r="AZ220" s="214"/>
      <c r="BA220" s="214"/>
      <c r="BB220" s="214"/>
      <c r="BC220" s="214"/>
      <c r="BD220" s="214"/>
      <c r="BE220" s="214"/>
      <c r="BF220" s="214"/>
      <c r="BG220" s="214"/>
      <c r="BH220" s="214"/>
      <c r="BI220" s="214"/>
      <c r="BJ220" s="214"/>
      <c r="BK220" s="214"/>
      <c r="BL220" s="214"/>
      <c r="BM220" s="214"/>
      <c r="BN220" s="214"/>
      <c r="BO220" s="214"/>
      <c r="BP220" s="214"/>
      <c r="BQ220" s="214"/>
      <c r="BR220" s="214"/>
      <c r="BS220" s="214"/>
      <c r="BT220" s="214"/>
      <c r="BU220" s="214"/>
      <c r="BV220" s="214"/>
      <c r="BW220" s="214"/>
      <c r="BX220" s="214"/>
      <c r="BY220" s="214"/>
      <c r="BZ220" s="214"/>
      <c r="CA220" s="214"/>
    </row>
    <row r="221" spans="1:79" s="215" customFormat="1" ht="16.5" customHeight="1" x14ac:dyDescent="0.25">
      <c r="A221" s="117" t="s">
        <v>525</v>
      </c>
      <c r="B221" s="186" t="s">
        <v>50</v>
      </c>
      <c r="C221" s="186" t="s">
        <v>526</v>
      </c>
      <c r="D221" s="187" t="s">
        <v>527</v>
      </c>
      <c r="E221" s="23" t="s">
        <v>528</v>
      </c>
      <c r="F221" s="209"/>
      <c r="G221" s="210"/>
      <c r="H221" s="211"/>
      <c r="I221" s="212">
        <v>3.7</v>
      </c>
      <c r="J221" s="81" t="s">
        <v>529</v>
      </c>
      <c r="K221" s="213">
        <f t="shared" ref="K221" si="39">G221*I221</f>
        <v>0</v>
      </c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  <c r="Y221" s="214"/>
      <c r="Z221" s="214"/>
      <c r="AA221" s="214"/>
      <c r="AB221" s="214"/>
      <c r="AC221" s="214"/>
      <c r="AD221" s="214"/>
      <c r="AE221" s="214"/>
      <c r="AF221" s="214"/>
      <c r="AG221" s="214"/>
      <c r="AH221" s="214"/>
      <c r="AI221" s="214"/>
      <c r="AJ221" s="214"/>
      <c r="AK221" s="214"/>
      <c r="AL221" s="214"/>
      <c r="AM221" s="214"/>
      <c r="AN221" s="214"/>
      <c r="AO221" s="214"/>
      <c r="AP221" s="214"/>
      <c r="AQ221" s="214"/>
      <c r="AR221" s="214"/>
      <c r="AS221" s="214"/>
      <c r="AT221" s="214"/>
      <c r="AU221" s="214"/>
      <c r="AV221" s="214"/>
      <c r="AW221" s="214"/>
      <c r="AX221" s="214"/>
      <c r="AY221" s="214"/>
      <c r="AZ221" s="214"/>
      <c r="BA221" s="214"/>
      <c r="BB221" s="214"/>
      <c r="BC221" s="214"/>
      <c r="BD221" s="214"/>
      <c r="BE221" s="214"/>
      <c r="BF221" s="214"/>
      <c r="BG221" s="214"/>
      <c r="BH221" s="214"/>
      <c r="BI221" s="214"/>
      <c r="BJ221" s="214"/>
      <c r="BK221" s="214"/>
      <c r="BL221" s="214"/>
      <c r="BM221" s="214"/>
      <c r="BN221" s="214"/>
      <c r="BO221" s="214"/>
      <c r="BP221" s="214"/>
      <c r="BQ221" s="214"/>
      <c r="BR221" s="214"/>
      <c r="BS221" s="214"/>
      <c r="BT221" s="214"/>
      <c r="BU221" s="214"/>
      <c r="BV221" s="214"/>
      <c r="BW221" s="214"/>
      <c r="BX221" s="214"/>
      <c r="BY221" s="214"/>
      <c r="BZ221" s="214"/>
      <c r="CA221" s="214"/>
    </row>
    <row r="222" spans="1:79" s="215" customFormat="1" ht="16.5" customHeight="1" x14ac:dyDescent="0.25">
      <c r="A222" s="117" t="s">
        <v>530</v>
      </c>
      <c r="B222" s="186" t="s">
        <v>50</v>
      </c>
      <c r="C222" s="186" t="s">
        <v>327</v>
      </c>
      <c r="D222" s="187" t="s">
        <v>527</v>
      </c>
      <c r="E222" s="23" t="s">
        <v>531</v>
      </c>
      <c r="F222" s="209"/>
      <c r="G222" s="210"/>
      <c r="H222" s="211"/>
      <c r="I222" s="212">
        <v>2.9</v>
      </c>
      <c r="J222" s="81" t="s">
        <v>532</v>
      </c>
      <c r="K222" s="213">
        <f t="shared" si="38"/>
        <v>0</v>
      </c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  <c r="Y222" s="214"/>
      <c r="Z222" s="214"/>
      <c r="AA222" s="214"/>
      <c r="AB222" s="214"/>
      <c r="AC222" s="214"/>
      <c r="AD222" s="214"/>
      <c r="AE222" s="214"/>
      <c r="AF222" s="214"/>
      <c r="AG222" s="214"/>
      <c r="AH222" s="214"/>
      <c r="AI222" s="214"/>
      <c r="AJ222" s="214"/>
      <c r="AK222" s="214"/>
      <c r="AL222" s="214"/>
      <c r="AM222" s="214"/>
      <c r="AN222" s="214"/>
      <c r="AO222" s="214"/>
      <c r="AP222" s="214"/>
      <c r="AQ222" s="214"/>
      <c r="AR222" s="214"/>
      <c r="AS222" s="214"/>
      <c r="AT222" s="214"/>
      <c r="AU222" s="214"/>
      <c r="AV222" s="214"/>
      <c r="AW222" s="214"/>
      <c r="AX222" s="214"/>
      <c r="AY222" s="214"/>
      <c r="AZ222" s="214"/>
      <c r="BA222" s="214"/>
      <c r="BB222" s="214"/>
      <c r="BC222" s="214"/>
      <c r="BD222" s="214"/>
      <c r="BE222" s="214"/>
      <c r="BF222" s="214"/>
      <c r="BG222" s="214"/>
      <c r="BH222" s="214"/>
      <c r="BI222" s="214"/>
      <c r="BJ222" s="214"/>
      <c r="BK222" s="214"/>
      <c r="BL222" s="214"/>
      <c r="BM222" s="214"/>
      <c r="BN222" s="214"/>
      <c r="BO222" s="214"/>
      <c r="BP222" s="214"/>
      <c r="BQ222" s="214"/>
      <c r="BR222" s="214"/>
      <c r="BS222" s="214"/>
      <c r="BT222" s="214"/>
      <c r="BU222" s="214"/>
      <c r="BV222" s="214"/>
      <c r="BW222" s="214"/>
      <c r="BX222" s="214"/>
      <c r="BY222" s="214"/>
      <c r="BZ222" s="214"/>
      <c r="CA222" s="214"/>
    </row>
    <row r="223" spans="1:79" s="215" customFormat="1" ht="16.5" customHeight="1" x14ac:dyDescent="0.25">
      <c r="A223" s="117" t="s">
        <v>533</v>
      </c>
      <c r="B223" s="186" t="s">
        <v>50</v>
      </c>
      <c r="C223" s="186" t="s">
        <v>534</v>
      </c>
      <c r="D223" s="187" t="s">
        <v>535</v>
      </c>
      <c r="E223" s="23" t="s">
        <v>536</v>
      </c>
      <c r="F223" s="209"/>
      <c r="G223" s="210"/>
      <c r="H223" s="211"/>
      <c r="I223" s="212">
        <v>3.5</v>
      </c>
      <c r="J223" s="81"/>
      <c r="K223" s="213">
        <f t="shared" si="38"/>
        <v>0</v>
      </c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  <c r="Y223" s="214"/>
      <c r="Z223" s="214"/>
      <c r="AA223" s="214"/>
      <c r="AB223" s="214"/>
      <c r="AC223" s="214"/>
      <c r="AD223" s="214"/>
      <c r="AE223" s="214"/>
      <c r="AF223" s="214"/>
      <c r="AG223" s="214"/>
      <c r="AH223" s="214"/>
      <c r="AI223" s="214"/>
      <c r="AJ223" s="214"/>
      <c r="AK223" s="214"/>
      <c r="AL223" s="214"/>
      <c r="AM223" s="214"/>
      <c r="AN223" s="214"/>
      <c r="AO223" s="214"/>
      <c r="AP223" s="214"/>
      <c r="AQ223" s="214"/>
      <c r="AR223" s="214"/>
      <c r="AS223" s="214"/>
      <c r="AT223" s="214"/>
      <c r="AU223" s="214"/>
      <c r="AV223" s="214"/>
      <c r="AW223" s="214"/>
      <c r="AX223" s="214"/>
      <c r="AY223" s="214"/>
      <c r="AZ223" s="214"/>
      <c r="BA223" s="214"/>
      <c r="BB223" s="214"/>
      <c r="BC223" s="214"/>
      <c r="BD223" s="214"/>
      <c r="BE223" s="214"/>
      <c r="BF223" s="214"/>
      <c r="BG223" s="214"/>
      <c r="BH223" s="214"/>
      <c r="BI223" s="214"/>
      <c r="BJ223" s="214"/>
      <c r="BK223" s="214"/>
      <c r="BL223" s="214"/>
      <c r="BM223" s="214"/>
      <c r="BN223" s="214"/>
      <c r="BO223" s="214"/>
      <c r="BP223" s="214"/>
      <c r="BQ223" s="214"/>
      <c r="BR223" s="214"/>
      <c r="BS223" s="214"/>
      <c r="BT223" s="214"/>
      <c r="BU223" s="214"/>
      <c r="BV223" s="214"/>
      <c r="BW223" s="214"/>
      <c r="BX223" s="214"/>
      <c r="BY223" s="214"/>
      <c r="BZ223" s="214"/>
      <c r="CA223" s="214"/>
    </row>
    <row r="224" spans="1:79" s="215" customFormat="1" ht="16.5" customHeight="1" x14ac:dyDescent="0.25">
      <c r="A224" s="117" t="s">
        <v>537</v>
      </c>
      <c r="B224" s="186" t="s">
        <v>50</v>
      </c>
      <c r="C224" s="186" t="s">
        <v>51</v>
      </c>
      <c r="D224" s="187" t="s">
        <v>527</v>
      </c>
      <c r="E224" s="23" t="s">
        <v>538</v>
      </c>
      <c r="F224" s="209"/>
      <c r="G224" s="210"/>
      <c r="H224" s="211"/>
      <c r="I224" s="212">
        <v>3.5</v>
      </c>
      <c r="J224" s="81"/>
      <c r="K224" s="213">
        <f t="shared" si="38"/>
        <v>0</v>
      </c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  <c r="Y224" s="214"/>
      <c r="Z224" s="214"/>
      <c r="AA224" s="214"/>
      <c r="AB224" s="214"/>
      <c r="AC224" s="214"/>
      <c r="AD224" s="214"/>
      <c r="AE224" s="214"/>
      <c r="AF224" s="214"/>
      <c r="AG224" s="214"/>
      <c r="AH224" s="214"/>
      <c r="AI224" s="214"/>
      <c r="AJ224" s="214"/>
      <c r="AK224" s="214"/>
      <c r="AL224" s="214"/>
      <c r="AM224" s="214"/>
      <c r="AN224" s="214"/>
      <c r="AO224" s="214"/>
      <c r="AP224" s="214"/>
      <c r="AQ224" s="214"/>
      <c r="AR224" s="214"/>
      <c r="AS224" s="214"/>
      <c r="AT224" s="214"/>
      <c r="AU224" s="214"/>
      <c r="AV224" s="214"/>
      <c r="AW224" s="214"/>
      <c r="AX224" s="214"/>
      <c r="AY224" s="214"/>
      <c r="AZ224" s="214"/>
      <c r="BA224" s="214"/>
      <c r="BB224" s="214"/>
      <c r="BC224" s="214"/>
      <c r="BD224" s="214"/>
      <c r="BE224" s="214"/>
      <c r="BF224" s="214"/>
      <c r="BG224" s="214"/>
      <c r="BH224" s="214"/>
      <c r="BI224" s="214"/>
      <c r="BJ224" s="214"/>
      <c r="BK224" s="214"/>
      <c r="BL224" s="214"/>
      <c r="BM224" s="214"/>
      <c r="BN224" s="214"/>
      <c r="BO224" s="214"/>
      <c r="BP224" s="214"/>
      <c r="BQ224" s="214"/>
      <c r="BR224" s="214"/>
      <c r="BS224" s="214"/>
      <c r="BT224" s="214"/>
      <c r="BU224" s="214"/>
      <c r="BV224" s="214"/>
      <c r="BW224" s="214"/>
      <c r="BX224" s="214"/>
      <c r="BY224" s="214"/>
      <c r="BZ224" s="214"/>
      <c r="CA224" s="214"/>
    </row>
    <row r="225" spans="1:80" s="215" customFormat="1" ht="16.5" customHeight="1" x14ac:dyDescent="0.25">
      <c r="A225" s="117" t="s">
        <v>539</v>
      </c>
      <c r="B225" s="186" t="s">
        <v>50</v>
      </c>
      <c r="C225" s="186" t="s">
        <v>526</v>
      </c>
      <c r="D225" s="187" t="s">
        <v>527</v>
      </c>
      <c r="E225" s="23" t="s">
        <v>540</v>
      </c>
      <c r="F225" s="209"/>
      <c r="G225" s="210"/>
      <c r="H225" s="211"/>
      <c r="I225" s="212">
        <v>3.7</v>
      </c>
      <c r="J225" s="81" t="s">
        <v>529</v>
      </c>
      <c r="K225" s="213">
        <f t="shared" ref="K225" si="40">G225*I225</f>
        <v>0</v>
      </c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  <c r="Y225" s="214"/>
      <c r="Z225" s="214"/>
      <c r="AA225" s="214"/>
      <c r="AB225" s="214"/>
      <c r="AC225" s="214"/>
      <c r="AD225" s="214"/>
      <c r="AE225" s="214"/>
      <c r="AF225" s="214"/>
      <c r="AG225" s="214"/>
      <c r="AH225" s="214"/>
      <c r="AI225" s="214"/>
      <c r="AJ225" s="214"/>
      <c r="AK225" s="214"/>
      <c r="AL225" s="214"/>
      <c r="AM225" s="214"/>
      <c r="AN225" s="214"/>
      <c r="AO225" s="214"/>
      <c r="AP225" s="214"/>
      <c r="AQ225" s="214"/>
      <c r="AR225" s="214"/>
      <c r="AS225" s="214"/>
      <c r="AT225" s="214"/>
      <c r="AU225" s="214"/>
      <c r="AV225" s="214"/>
      <c r="AW225" s="214"/>
      <c r="AX225" s="214"/>
      <c r="AY225" s="214"/>
      <c r="AZ225" s="214"/>
      <c r="BA225" s="214"/>
      <c r="BB225" s="214"/>
      <c r="BC225" s="214"/>
      <c r="BD225" s="214"/>
      <c r="BE225" s="214"/>
      <c r="BF225" s="214"/>
      <c r="BG225" s="214"/>
      <c r="BH225" s="214"/>
      <c r="BI225" s="214"/>
      <c r="BJ225" s="214"/>
      <c r="BK225" s="214"/>
      <c r="BL225" s="214"/>
      <c r="BM225" s="214"/>
      <c r="BN225" s="214"/>
      <c r="BO225" s="214"/>
      <c r="BP225" s="214"/>
      <c r="BQ225" s="214"/>
      <c r="BR225" s="214"/>
      <c r="BS225" s="214"/>
      <c r="BT225" s="214"/>
      <c r="BU225" s="214"/>
      <c r="BV225" s="214"/>
      <c r="BW225" s="214"/>
      <c r="BX225" s="214"/>
      <c r="BY225" s="214"/>
      <c r="BZ225" s="214"/>
      <c r="CA225" s="214"/>
    </row>
    <row r="226" spans="1:80" s="215" customFormat="1" ht="16.5" customHeight="1" x14ac:dyDescent="0.25">
      <c r="A226" s="117" t="s">
        <v>541</v>
      </c>
      <c r="B226" s="186" t="s">
        <v>50</v>
      </c>
      <c r="C226" s="186" t="s">
        <v>51</v>
      </c>
      <c r="D226" s="187" t="s">
        <v>527</v>
      </c>
      <c r="E226" s="23" t="s">
        <v>542</v>
      </c>
      <c r="F226" s="209"/>
      <c r="G226" s="210"/>
      <c r="H226" s="211"/>
      <c r="I226" s="212">
        <v>2.9</v>
      </c>
      <c r="J226" s="81" t="s">
        <v>532</v>
      </c>
      <c r="K226" s="213">
        <f t="shared" si="38"/>
        <v>0</v>
      </c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  <c r="AA226" s="214"/>
      <c r="AB226" s="214"/>
      <c r="AC226" s="214"/>
      <c r="AD226" s="214"/>
      <c r="AE226" s="214"/>
      <c r="AF226" s="214"/>
      <c r="AG226" s="214"/>
      <c r="AH226" s="214"/>
      <c r="AI226" s="214"/>
      <c r="AJ226" s="214"/>
      <c r="AK226" s="214"/>
      <c r="AL226" s="214"/>
      <c r="AM226" s="214"/>
      <c r="AN226" s="214"/>
      <c r="AO226" s="214"/>
      <c r="AP226" s="214"/>
      <c r="AQ226" s="214"/>
      <c r="AR226" s="214"/>
      <c r="AS226" s="214"/>
      <c r="AT226" s="214"/>
      <c r="AU226" s="214"/>
      <c r="AV226" s="214"/>
      <c r="AW226" s="214"/>
      <c r="AX226" s="214"/>
      <c r="AY226" s="214"/>
      <c r="AZ226" s="214"/>
      <c r="BA226" s="214"/>
      <c r="BB226" s="214"/>
      <c r="BC226" s="214"/>
      <c r="BD226" s="214"/>
      <c r="BE226" s="214"/>
      <c r="BF226" s="214"/>
      <c r="BG226" s="214"/>
      <c r="BH226" s="214"/>
      <c r="BI226" s="214"/>
      <c r="BJ226" s="214"/>
      <c r="BK226" s="214"/>
      <c r="BL226" s="214"/>
      <c r="BM226" s="214"/>
      <c r="BN226" s="214"/>
      <c r="BO226" s="214"/>
      <c r="BP226" s="214"/>
      <c r="BQ226" s="214"/>
      <c r="BR226" s="214"/>
      <c r="BS226" s="214"/>
      <c r="BT226" s="214"/>
      <c r="BU226" s="214"/>
      <c r="BV226" s="214"/>
      <c r="BW226" s="214"/>
      <c r="BX226" s="214"/>
      <c r="BY226" s="214"/>
      <c r="BZ226" s="214"/>
      <c r="CA226" s="214"/>
    </row>
    <row r="227" spans="1:80" s="215" customFormat="1" ht="16.5" customHeight="1" x14ac:dyDescent="0.25">
      <c r="A227" s="117" t="s">
        <v>543</v>
      </c>
      <c r="B227" s="186" t="s">
        <v>50</v>
      </c>
      <c r="C227" s="186" t="s">
        <v>51</v>
      </c>
      <c r="D227" s="187" t="s">
        <v>544</v>
      </c>
      <c r="E227" s="23" t="s">
        <v>545</v>
      </c>
      <c r="F227" s="209"/>
      <c r="G227" s="210"/>
      <c r="H227" s="211"/>
      <c r="I227" s="212">
        <v>3.2</v>
      </c>
      <c r="J227" s="81"/>
      <c r="K227" s="213">
        <f t="shared" si="38"/>
        <v>0</v>
      </c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  <c r="AA227" s="214"/>
      <c r="AB227" s="214"/>
      <c r="AC227" s="214"/>
      <c r="AD227" s="214"/>
      <c r="AE227" s="214"/>
      <c r="AF227" s="214"/>
      <c r="AG227" s="214"/>
      <c r="AH227" s="214"/>
      <c r="AI227" s="214"/>
      <c r="AJ227" s="214"/>
      <c r="AK227" s="214"/>
      <c r="AL227" s="214"/>
      <c r="AM227" s="214"/>
      <c r="AN227" s="214"/>
      <c r="AO227" s="214"/>
      <c r="AP227" s="214"/>
      <c r="AQ227" s="214"/>
      <c r="AR227" s="214"/>
      <c r="AS227" s="214"/>
      <c r="AT227" s="214"/>
      <c r="AU227" s="214"/>
      <c r="AV227" s="214"/>
      <c r="AW227" s="214"/>
      <c r="AX227" s="214"/>
      <c r="AY227" s="214"/>
      <c r="AZ227" s="214"/>
      <c r="BA227" s="214"/>
      <c r="BB227" s="214"/>
      <c r="BC227" s="214"/>
      <c r="BD227" s="214"/>
      <c r="BE227" s="214"/>
      <c r="BF227" s="214"/>
      <c r="BG227" s="214"/>
      <c r="BH227" s="214"/>
      <c r="BI227" s="214"/>
      <c r="BJ227" s="214"/>
      <c r="BK227" s="214"/>
      <c r="BL227" s="214"/>
      <c r="BM227" s="214"/>
      <c r="BN227" s="214"/>
      <c r="BO227" s="214"/>
      <c r="BP227" s="214"/>
      <c r="BQ227" s="214"/>
      <c r="BR227" s="214"/>
      <c r="BS227" s="214"/>
      <c r="BT227" s="214"/>
      <c r="BU227" s="214"/>
      <c r="BV227" s="214"/>
      <c r="BW227" s="214"/>
      <c r="BX227" s="214"/>
      <c r="BY227" s="214"/>
      <c r="BZ227" s="214"/>
      <c r="CA227" s="214"/>
    </row>
    <row r="228" spans="1:80" s="215" customFormat="1" ht="16.5" customHeight="1" x14ac:dyDescent="0.25">
      <c r="A228" s="117" t="s">
        <v>546</v>
      </c>
      <c r="B228" s="186" t="s">
        <v>50</v>
      </c>
      <c r="C228" s="186" t="s">
        <v>51</v>
      </c>
      <c r="D228" s="187" t="s">
        <v>547</v>
      </c>
      <c r="E228" s="23" t="s">
        <v>548</v>
      </c>
      <c r="F228" s="209"/>
      <c r="G228" s="210"/>
      <c r="H228" s="211"/>
      <c r="I228" s="212">
        <v>3.2</v>
      </c>
      <c r="J228" s="81"/>
      <c r="K228" s="213">
        <f t="shared" si="38"/>
        <v>0</v>
      </c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  <c r="Y228" s="214"/>
      <c r="Z228" s="214"/>
      <c r="AA228" s="214"/>
      <c r="AB228" s="214"/>
      <c r="AC228" s="214"/>
      <c r="AD228" s="214"/>
      <c r="AE228" s="214"/>
      <c r="AF228" s="214"/>
      <c r="AG228" s="214"/>
      <c r="AH228" s="214"/>
      <c r="AI228" s="214"/>
      <c r="AJ228" s="214"/>
      <c r="AK228" s="214"/>
      <c r="AL228" s="214"/>
      <c r="AM228" s="214"/>
      <c r="AN228" s="214"/>
      <c r="AO228" s="214"/>
      <c r="AP228" s="214"/>
      <c r="AQ228" s="214"/>
      <c r="AR228" s="214"/>
      <c r="AS228" s="214"/>
      <c r="AT228" s="214"/>
      <c r="AU228" s="214"/>
      <c r="AV228" s="214"/>
      <c r="AW228" s="214"/>
      <c r="AX228" s="214"/>
      <c r="AY228" s="214"/>
      <c r="AZ228" s="214"/>
      <c r="BA228" s="214"/>
      <c r="BB228" s="214"/>
      <c r="BC228" s="214"/>
      <c r="BD228" s="214"/>
      <c r="BE228" s="214"/>
      <c r="BF228" s="214"/>
      <c r="BG228" s="214"/>
      <c r="BH228" s="214"/>
      <c r="BI228" s="214"/>
      <c r="BJ228" s="214"/>
      <c r="BK228" s="214"/>
      <c r="BL228" s="214"/>
      <c r="BM228" s="214"/>
      <c r="BN228" s="214"/>
      <c r="BO228" s="214"/>
      <c r="BP228" s="214"/>
      <c r="BQ228" s="214"/>
      <c r="BR228" s="214"/>
      <c r="BS228" s="214"/>
      <c r="BT228" s="214"/>
      <c r="BU228" s="214"/>
      <c r="BV228" s="214"/>
      <c r="BW228" s="214"/>
      <c r="BX228" s="214"/>
      <c r="BY228" s="214"/>
      <c r="BZ228" s="214"/>
      <c r="CA228" s="214"/>
    </row>
    <row r="229" spans="1:80" s="215" customFormat="1" ht="16.5" customHeight="1" x14ac:dyDescent="0.25">
      <c r="A229" s="117" t="s">
        <v>549</v>
      </c>
      <c r="B229" s="186" t="s">
        <v>50</v>
      </c>
      <c r="C229" s="186" t="s">
        <v>526</v>
      </c>
      <c r="D229" s="187" t="s">
        <v>527</v>
      </c>
      <c r="E229" s="23" t="s">
        <v>550</v>
      </c>
      <c r="F229" s="209"/>
      <c r="G229" s="210"/>
      <c r="H229" s="211"/>
      <c r="I229" s="212">
        <v>3.7</v>
      </c>
      <c r="J229" s="81" t="s">
        <v>529</v>
      </c>
      <c r="K229" s="213">
        <f t="shared" ref="K229" si="41">G229*I229</f>
        <v>0</v>
      </c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  <c r="Y229" s="214"/>
      <c r="Z229" s="214"/>
      <c r="AA229" s="214"/>
      <c r="AB229" s="214"/>
      <c r="AC229" s="214"/>
      <c r="AD229" s="214"/>
      <c r="AE229" s="214"/>
      <c r="AF229" s="214"/>
      <c r="AG229" s="214"/>
      <c r="AH229" s="214"/>
      <c r="AI229" s="214"/>
      <c r="AJ229" s="214"/>
      <c r="AK229" s="214"/>
      <c r="AL229" s="214"/>
      <c r="AM229" s="214"/>
      <c r="AN229" s="214"/>
      <c r="AO229" s="214"/>
      <c r="AP229" s="214"/>
      <c r="AQ229" s="214"/>
      <c r="AR229" s="214"/>
      <c r="AS229" s="214"/>
      <c r="AT229" s="214"/>
      <c r="AU229" s="214"/>
      <c r="AV229" s="214"/>
      <c r="AW229" s="214"/>
      <c r="AX229" s="214"/>
      <c r="AY229" s="214"/>
      <c r="AZ229" s="214"/>
      <c r="BA229" s="214"/>
      <c r="BB229" s="214"/>
      <c r="BC229" s="214"/>
      <c r="BD229" s="214"/>
      <c r="BE229" s="214"/>
      <c r="BF229" s="214"/>
      <c r="BG229" s="214"/>
      <c r="BH229" s="214"/>
      <c r="BI229" s="214"/>
      <c r="BJ229" s="214"/>
      <c r="BK229" s="214"/>
      <c r="BL229" s="214"/>
      <c r="BM229" s="214"/>
      <c r="BN229" s="214"/>
      <c r="BO229" s="214"/>
      <c r="BP229" s="214"/>
      <c r="BQ229" s="214"/>
      <c r="BR229" s="214"/>
      <c r="BS229" s="214"/>
      <c r="BT229" s="214"/>
      <c r="BU229" s="214"/>
      <c r="BV229" s="214"/>
      <c r="BW229" s="214"/>
      <c r="BX229" s="214"/>
      <c r="BY229" s="214"/>
      <c r="BZ229" s="214"/>
      <c r="CA229" s="214"/>
    </row>
    <row r="230" spans="1:80" s="215" customFormat="1" ht="16.5" customHeight="1" x14ac:dyDescent="0.25">
      <c r="A230" s="117" t="s">
        <v>551</v>
      </c>
      <c r="B230" s="186" t="s">
        <v>50</v>
      </c>
      <c r="C230" s="186" t="s">
        <v>327</v>
      </c>
      <c r="D230" s="187" t="s">
        <v>527</v>
      </c>
      <c r="E230" s="23" t="s">
        <v>552</v>
      </c>
      <c r="F230" s="209"/>
      <c r="G230" s="210"/>
      <c r="H230" s="211"/>
      <c r="I230" s="212">
        <v>2.9</v>
      </c>
      <c r="J230" s="81" t="s">
        <v>532</v>
      </c>
      <c r="K230" s="213">
        <f t="shared" si="38"/>
        <v>0</v>
      </c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  <c r="Y230" s="214"/>
      <c r="Z230" s="214"/>
      <c r="AA230" s="214"/>
      <c r="AB230" s="214"/>
      <c r="AC230" s="214"/>
      <c r="AD230" s="214"/>
      <c r="AE230" s="214"/>
      <c r="AF230" s="214"/>
      <c r="AG230" s="214"/>
      <c r="AH230" s="214"/>
      <c r="AI230" s="214"/>
      <c r="AJ230" s="214"/>
      <c r="AK230" s="214"/>
      <c r="AL230" s="214"/>
      <c r="AM230" s="214"/>
      <c r="AN230" s="214"/>
      <c r="AO230" s="214"/>
      <c r="AP230" s="214"/>
      <c r="AQ230" s="214"/>
      <c r="AR230" s="214"/>
      <c r="AS230" s="214"/>
      <c r="AT230" s="214"/>
      <c r="AU230" s="214"/>
      <c r="AV230" s="214"/>
      <c r="AW230" s="214"/>
      <c r="AX230" s="214"/>
      <c r="AY230" s="214"/>
      <c r="AZ230" s="214"/>
      <c r="BA230" s="214"/>
      <c r="BB230" s="214"/>
      <c r="BC230" s="214"/>
      <c r="BD230" s="214"/>
      <c r="BE230" s="214"/>
      <c r="BF230" s="214"/>
      <c r="BG230" s="214"/>
      <c r="BH230" s="214"/>
      <c r="BI230" s="214"/>
      <c r="BJ230" s="214"/>
      <c r="BK230" s="214"/>
      <c r="BL230" s="214"/>
      <c r="BM230" s="214"/>
      <c r="BN230" s="214"/>
      <c r="BO230" s="214"/>
      <c r="BP230" s="214"/>
      <c r="BQ230" s="214"/>
      <c r="BR230" s="214"/>
      <c r="BS230" s="214"/>
      <c r="BT230" s="214"/>
      <c r="BU230" s="214"/>
      <c r="BV230" s="214"/>
      <c r="BW230" s="214"/>
      <c r="BX230" s="214"/>
      <c r="BY230" s="214"/>
      <c r="BZ230" s="214"/>
      <c r="CA230" s="214"/>
    </row>
    <row r="231" spans="1:80" s="215" customFormat="1" ht="16.5" customHeight="1" x14ac:dyDescent="0.25">
      <c r="A231" s="117" t="s">
        <v>553</v>
      </c>
      <c r="B231" s="186" t="s">
        <v>50</v>
      </c>
      <c r="C231" s="186" t="s">
        <v>51</v>
      </c>
      <c r="D231" s="187" t="s">
        <v>196</v>
      </c>
      <c r="E231" s="23" t="s">
        <v>554</v>
      </c>
      <c r="F231" s="209"/>
      <c r="G231" s="210"/>
      <c r="H231" s="211"/>
      <c r="I231" s="212">
        <v>3.5</v>
      </c>
      <c r="J231" s="81"/>
      <c r="K231" s="213">
        <f t="shared" si="38"/>
        <v>0</v>
      </c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  <c r="Y231" s="214"/>
      <c r="Z231" s="214"/>
      <c r="AA231" s="214"/>
      <c r="AB231" s="214"/>
      <c r="AC231" s="214"/>
      <c r="AD231" s="214"/>
      <c r="AE231" s="214"/>
      <c r="AF231" s="214"/>
      <c r="AG231" s="214"/>
      <c r="AH231" s="214"/>
      <c r="AI231" s="214"/>
      <c r="AJ231" s="214"/>
      <c r="AK231" s="214"/>
      <c r="AL231" s="214"/>
      <c r="AM231" s="214"/>
      <c r="AN231" s="214"/>
      <c r="AO231" s="214"/>
      <c r="AP231" s="214"/>
      <c r="AQ231" s="214"/>
      <c r="AR231" s="214"/>
      <c r="AS231" s="214"/>
      <c r="AT231" s="214"/>
      <c r="AU231" s="214"/>
      <c r="AV231" s="214"/>
      <c r="AW231" s="214"/>
      <c r="AX231" s="214"/>
      <c r="AY231" s="214"/>
      <c r="AZ231" s="214"/>
      <c r="BA231" s="214"/>
      <c r="BB231" s="214"/>
      <c r="BC231" s="214"/>
      <c r="BD231" s="214"/>
      <c r="BE231" s="214"/>
      <c r="BF231" s="214"/>
      <c r="BG231" s="214"/>
      <c r="BH231" s="214"/>
      <c r="BI231" s="214"/>
      <c r="BJ231" s="214"/>
      <c r="BK231" s="214"/>
      <c r="BL231" s="214"/>
      <c r="BM231" s="214"/>
      <c r="BN231" s="214"/>
      <c r="BO231" s="214"/>
      <c r="BP231" s="214"/>
      <c r="BQ231" s="214"/>
      <c r="BR231" s="214"/>
      <c r="BS231" s="214"/>
      <c r="BT231" s="214"/>
      <c r="BU231" s="214"/>
      <c r="BV231" s="214"/>
      <c r="BW231" s="214"/>
      <c r="BX231" s="214"/>
      <c r="BY231" s="214"/>
      <c r="BZ231" s="214"/>
      <c r="CA231" s="214"/>
    </row>
    <row r="232" spans="1:80" s="215" customFormat="1" ht="16.5" customHeight="1" x14ac:dyDescent="0.25">
      <c r="A232" s="117" t="s">
        <v>555</v>
      </c>
      <c r="B232" s="186" t="s">
        <v>50</v>
      </c>
      <c r="C232" s="186" t="s">
        <v>526</v>
      </c>
      <c r="D232" s="187" t="s">
        <v>196</v>
      </c>
      <c r="E232" s="23" t="s">
        <v>556</v>
      </c>
      <c r="F232" s="209"/>
      <c r="G232" s="210"/>
      <c r="H232" s="211"/>
      <c r="I232" s="212">
        <v>3.7</v>
      </c>
      <c r="J232" s="81" t="s">
        <v>529</v>
      </c>
      <c r="K232" s="213">
        <f t="shared" ref="K232" si="42">G232*I232</f>
        <v>0</v>
      </c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  <c r="Y232" s="214"/>
      <c r="Z232" s="214"/>
      <c r="AA232" s="214"/>
      <c r="AB232" s="214"/>
      <c r="AC232" s="214"/>
      <c r="AD232" s="214"/>
      <c r="AE232" s="214"/>
      <c r="AF232" s="214"/>
      <c r="AG232" s="214"/>
      <c r="AH232" s="214"/>
      <c r="AI232" s="214"/>
      <c r="AJ232" s="214"/>
      <c r="AK232" s="214"/>
      <c r="AL232" s="214"/>
      <c r="AM232" s="214"/>
      <c r="AN232" s="214"/>
      <c r="AO232" s="214"/>
      <c r="AP232" s="214"/>
      <c r="AQ232" s="214"/>
      <c r="AR232" s="214"/>
      <c r="AS232" s="214"/>
      <c r="AT232" s="214"/>
      <c r="AU232" s="214"/>
      <c r="AV232" s="214"/>
      <c r="AW232" s="214"/>
      <c r="AX232" s="214"/>
      <c r="AY232" s="214"/>
      <c r="AZ232" s="214"/>
      <c r="BA232" s="214"/>
      <c r="BB232" s="214"/>
      <c r="BC232" s="214"/>
      <c r="BD232" s="214"/>
      <c r="BE232" s="214"/>
      <c r="BF232" s="214"/>
      <c r="BG232" s="214"/>
      <c r="BH232" s="214"/>
      <c r="BI232" s="214"/>
      <c r="BJ232" s="214"/>
      <c r="BK232" s="214"/>
      <c r="BL232" s="214"/>
      <c r="BM232" s="214"/>
      <c r="BN232" s="214"/>
      <c r="BO232" s="214"/>
      <c r="BP232" s="214"/>
      <c r="BQ232" s="214"/>
      <c r="BR232" s="214"/>
      <c r="BS232" s="214"/>
      <c r="BT232" s="214"/>
      <c r="BU232" s="214"/>
      <c r="BV232" s="214"/>
      <c r="BW232" s="214"/>
      <c r="BX232" s="214"/>
      <c r="BY232" s="214"/>
      <c r="BZ232" s="214"/>
      <c r="CA232" s="214"/>
    </row>
    <row r="233" spans="1:80" s="215" customFormat="1" ht="16.5" customHeight="1" x14ac:dyDescent="0.25">
      <c r="A233" s="117" t="s">
        <v>557</v>
      </c>
      <c r="B233" s="186" t="s">
        <v>50</v>
      </c>
      <c r="C233" s="186" t="s">
        <v>51</v>
      </c>
      <c r="D233" s="187" t="s">
        <v>196</v>
      </c>
      <c r="E233" s="23" t="s">
        <v>558</v>
      </c>
      <c r="F233" s="209"/>
      <c r="G233" s="210"/>
      <c r="H233" s="211"/>
      <c r="I233" s="212">
        <v>2.9</v>
      </c>
      <c r="J233" s="81" t="s">
        <v>532</v>
      </c>
      <c r="K233" s="213">
        <f t="shared" si="38"/>
        <v>0</v>
      </c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  <c r="Y233" s="214"/>
      <c r="Z233" s="214"/>
      <c r="AA233" s="214"/>
      <c r="AB233" s="214"/>
      <c r="AC233" s="214"/>
      <c r="AD233" s="214"/>
      <c r="AE233" s="214"/>
      <c r="AF233" s="214"/>
      <c r="AG233" s="214"/>
      <c r="AH233" s="214"/>
      <c r="AI233" s="214"/>
      <c r="AJ233" s="214"/>
      <c r="AK233" s="214"/>
      <c r="AL233" s="214"/>
      <c r="AM233" s="214"/>
      <c r="AN233" s="214"/>
      <c r="AO233" s="214"/>
      <c r="AP233" s="214"/>
      <c r="AQ233" s="214"/>
      <c r="AR233" s="214"/>
      <c r="AS233" s="214"/>
      <c r="AT233" s="214"/>
      <c r="AU233" s="214"/>
      <c r="AV233" s="214"/>
      <c r="AW233" s="214"/>
      <c r="AX233" s="214"/>
      <c r="AY233" s="214"/>
      <c r="AZ233" s="214"/>
      <c r="BA233" s="214"/>
      <c r="BB233" s="214"/>
      <c r="BC233" s="214"/>
      <c r="BD233" s="214"/>
      <c r="BE233" s="214"/>
      <c r="BF233" s="214"/>
      <c r="BG233" s="214"/>
      <c r="BH233" s="214"/>
      <c r="BI233" s="214"/>
      <c r="BJ233" s="214"/>
      <c r="BK233" s="214"/>
      <c r="BL233" s="214"/>
      <c r="BM233" s="214"/>
      <c r="BN233" s="214"/>
      <c r="BO233" s="214"/>
      <c r="BP233" s="214"/>
      <c r="BQ233" s="214"/>
      <c r="BR233" s="214"/>
      <c r="BS233" s="214"/>
      <c r="BT233" s="214"/>
      <c r="BU233" s="214"/>
      <c r="BV233" s="214"/>
      <c r="BW233" s="214"/>
      <c r="BX233" s="214"/>
      <c r="BY233" s="214"/>
      <c r="BZ233" s="214"/>
      <c r="CA233" s="214"/>
    </row>
    <row r="234" spans="1:80" s="215" customFormat="1" ht="16.5" customHeight="1" x14ac:dyDescent="0.25">
      <c r="A234" s="117" t="s">
        <v>559</v>
      </c>
      <c r="B234" s="186" t="s">
        <v>50</v>
      </c>
      <c r="C234" s="186" t="s">
        <v>51</v>
      </c>
      <c r="D234" s="187" t="s">
        <v>196</v>
      </c>
      <c r="E234" s="23" t="s">
        <v>560</v>
      </c>
      <c r="F234" s="209"/>
      <c r="G234" s="210"/>
      <c r="H234" s="211"/>
      <c r="I234" s="212">
        <v>3.5</v>
      </c>
      <c r="J234" s="81"/>
      <c r="K234" s="213">
        <f t="shared" si="38"/>
        <v>0</v>
      </c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  <c r="Y234" s="214"/>
      <c r="Z234" s="214"/>
      <c r="AA234" s="214"/>
      <c r="AB234" s="214"/>
      <c r="AC234" s="214"/>
      <c r="AD234" s="214"/>
      <c r="AE234" s="214"/>
      <c r="AF234" s="214"/>
      <c r="AG234" s="214"/>
      <c r="AH234" s="214"/>
      <c r="AI234" s="214"/>
      <c r="AJ234" s="214"/>
      <c r="AK234" s="214"/>
      <c r="AL234" s="214"/>
      <c r="AM234" s="214"/>
      <c r="AN234" s="214"/>
      <c r="AO234" s="214"/>
      <c r="AP234" s="214"/>
      <c r="AQ234" s="214"/>
      <c r="AR234" s="214"/>
      <c r="AS234" s="214"/>
      <c r="AT234" s="214"/>
      <c r="AU234" s="214"/>
      <c r="AV234" s="214"/>
      <c r="AW234" s="214"/>
      <c r="AX234" s="214"/>
      <c r="AY234" s="214"/>
      <c r="AZ234" s="214"/>
      <c r="BA234" s="214"/>
      <c r="BB234" s="214"/>
      <c r="BC234" s="214"/>
      <c r="BD234" s="214"/>
      <c r="BE234" s="214"/>
      <c r="BF234" s="214"/>
      <c r="BG234" s="214"/>
      <c r="BH234" s="214"/>
      <c r="BI234" s="214"/>
      <c r="BJ234" s="214"/>
      <c r="BK234" s="214"/>
      <c r="BL234" s="214"/>
      <c r="BM234" s="214"/>
      <c r="BN234" s="214"/>
      <c r="BO234" s="214"/>
      <c r="BP234" s="214"/>
      <c r="BQ234" s="214"/>
      <c r="BR234" s="214"/>
      <c r="BS234" s="214"/>
      <c r="BT234" s="214"/>
      <c r="BU234" s="214"/>
      <c r="BV234" s="214"/>
      <c r="BW234" s="214"/>
      <c r="BX234" s="214"/>
      <c r="BY234" s="214"/>
      <c r="BZ234" s="214"/>
      <c r="CA234" s="214"/>
    </row>
    <row r="235" spans="1:80" s="215" customFormat="1" ht="16.5" customHeight="1" x14ac:dyDescent="0.25">
      <c r="A235" s="117" t="s">
        <v>561</v>
      </c>
      <c r="B235" s="186" t="s">
        <v>50</v>
      </c>
      <c r="C235" s="186" t="s">
        <v>526</v>
      </c>
      <c r="D235" s="187" t="s">
        <v>196</v>
      </c>
      <c r="E235" s="23" t="s">
        <v>562</v>
      </c>
      <c r="F235" s="209"/>
      <c r="G235" s="210"/>
      <c r="H235" s="211"/>
      <c r="I235" s="212">
        <v>3.7</v>
      </c>
      <c r="J235" s="81" t="s">
        <v>529</v>
      </c>
      <c r="K235" s="213">
        <f t="shared" ref="K235" si="43">G235*I235</f>
        <v>0</v>
      </c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  <c r="Y235" s="214"/>
      <c r="Z235" s="214"/>
      <c r="AA235" s="214"/>
      <c r="AB235" s="214"/>
      <c r="AC235" s="214"/>
      <c r="AD235" s="214"/>
      <c r="AE235" s="214"/>
      <c r="AF235" s="214"/>
      <c r="AG235" s="214"/>
      <c r="AH235" s="214"/>
      <c r="AI235" s="214"/>
      <c r="AJ235" s="214"/>
      <c r="AK235" s="214"/>
      <c r="AL235" s="214"/>
      <c r="AM235" s="214"/>
      <c r="AN235" s="214"/>
      <c r="AO235" s="214"/>
      <c r="AP235" s="214"/>
      <c r="AQ235" s="214"/>
      <c r="AR235" s="214"/>
      <c r="AS235" s="214"/>
      <c r="AT235" s="214"/>
      <c r="AU235" s="214"/>
      <c r="AV235" s="214"/>
      <c r="AW235" s="214"/>
      <c r="AX235" s="214"/>
      <c r="AY235" s="214"/>
      <c r="AZ235" s="214"/>
      <c r="BA235" s="214"/>
      <c r="BB235" s="214"/>
      <c r="BC235" s="214"/>
      <c r="BD235" s="214"/>
      <c r="BE235" s="214"/>
      <c r="BF235" s="214"/>
      <c r="BG235" s="214"/>
      <c r="BH235" s="214"/>
      <c r="BI235" s="214"/>
      <c r="BJ235" s="214"/>
      <c r="BK235" s="214"/>
      <c r="BL235" s="214"/>
      <c r="BM235" s="214"/>
      <c r="BN235" s="214"/>
      <c r="BO235" s="214"/>
      <c r="BP235" s="214"/>
      <c r="BQ235" s="214"/>
      <c r="BR235" s="214"/>
      <c r="BS235" s="214"/>
      <c r="BT235" s="214"/>
      <c r="BU235" s="214"/>
      <c r="BV235" s="214"/>
      <c r="BW235" s="214"/>
      <c r="BX235" s="214"/>
      <c r="BY235" s="214"/>
      <c r="BZ235" s="214"/>
      <c r="CA235" s="214"/>
    </row>
    <row r="236" spans="1:80" s="215" customFormat="1" ht="16.5" customHeight="1" x14ac:dyDescent="0.25">
      <c r="A236" s="117" t="s">
        <v>563</v>
      </c>
      <c r="B236" s="186" t="s">
        <v>50</v>
      </c>
      <c r="C236" s="186" t="s">
        <v>51</v>
      </c>
      <c r="D236" s="187" t="s">
        <v>196</v>
      </c>
      <c r="E236" s="23" t="s">
        <v>564</v>
      </c>
      <c r="F236" s="209"/>
      <c r="G236" s="210"/>
      <c r="H236" s="211"/>
      <c r="I236" s="212">
        <v>2.9</v>
      </c>
      <c r="J236" s="81" t="s">
        <v>532</v>
      </c>
      <c r="K236" s="213">
        <f t="shared" si="38"/>
        <v>0</v>
      </c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  <c r="X236" s="214"/>
      <c r="Y236" s="214"/>
      <c r="Z236" s="214"/>
      <c r="AA236" s="214"/>
      <c r="AB236" s="214"/>
      <c r="AC236" s="214"/>
      <c r="AD236" s="214"/>
      <c r="AE236" s="214"/>
      <c r="AF236" s="214"/>
      <c r="AG236" s="214"/>
      <c r="AH236" s="214"/>
      <c r="AI236" s="214"/>
      <c r="AJ236" s="214"/>
      <c r="AK236" s="214"/>
      <c r="AL236" s="214"/>
      <c r="AM236" s="214"/>
      <c r="AN236" s="214"/>
      <c r="AO236" s="214"/>
      <c r="AP236" s="214"/>
      <c r="AQ236" s="214"/>
      <c r="AR236" s="214"/>
      <c r="AS236" s="214"/>
      <c r="AT236" s="214"/>
      <c r="AU236" s="214"/>
      <c r="AV236" s="214"/>
      <c r="AW236" s="214"/>
      <c r="AX236" s="214"/>
      <c r="AY236" s="214"/>
      <c r="AZ236" s="214"/>
      <c r="BA236" s="214"/>
      <c r="BB236" s="214"/>
      <c r="BC236" s="214"/>
      <c r="BD236" s="214"/>
      <c r="BE236" s="214"/>
      <c r="BF236" s="214"/>
      <c r="BG236" s="214"/>
      <c r="BH236" s="214"/>
      <c r="BI236" s="214"/>
      <c r="BJ236" s="214"/>
      <c r="BK236" s="214"/>
      <c r="BL236" s="214"/>
      <c r="BM236" s="214"/>
      <c r="BN236" s="214"/>
      <c r="BO236" s="214"/>
      <c r="BP236" s="214"/>
      <c r="BQ236" s="214"/>
      <c r="BR236" s="214"/>
      <c r="BS236" s="214"/>
      <c r="BT236" s="214"/>
      <c r="BU236" s="214"/>
      <c r="BV236" s="214"/>
      <c r="BW236" s="214"/>
      <c r="BX236" s="214"/>
      <c r="BY236" s="214"/>
      <c r="BZ236" s="214"/>
      <c r="CA236" s="214"/>
    </row>
    <row r="237" spans="1:80" s="8" customFormat="1" ht="18.95" customHeight="1" x14ac:dyDescent="0.35">
      <c r="A237" s="120"/>
      <c r="B237" s="197"/>
      <c r="C237" s="197"/>
      <c r="D237" s="198"/>
      <c r="E237" s="32" t="s">
        <v>565</v>
      </c>
      <c r="F237" s="141"/>
      <c r="G237" s="69"/>
      <c r="H237" s="14"/>
      <c r="I237" s="14"/>
      <c r="J237" s="121"/>
      <c r="K237" s="72">
        <f t="shared" si="37"/>
        <v>0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9"/>
    </row>
    <row r="238" spans="1:80" s="8" customFormat="1" ht="32.25" customHeight="1" x14ac:dyDescent="0.35">
      <c r="A238" s="122" t="s">
        <v>16</v>
      </c>
      <c r="B238" s="199" t="s">
        <v>17</v>
      </c>
      <c r="C238" s="199"/>
      <c r="D238" s="200" t="s">
        <v>18</v>
      </c>
      <c r="E238" s="123" t="s">
        <v>19</v>
      </c>
      <c r="F238" s="123" t="s">
        <v>20</v>
      </c>
      <c r="G238" s="123" t="s">
        <v>21</v>
      </c>
      <c r="H238" s="122" t="s">
        <v>22</v>
      </c>
      <c r="I238" s="124" t="s">
        <v>23</v>
      </c>
      <c r="J238" s="125" t="s">
        <v>349</v>
      </c>
      <c r="K238" s="72" t="s">
        <v>2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</row>
    <row r="239" spans="1:80" s="215" customFormat="1" ht="16.5" customHeight="1" x14ac:dyDescent="0.25">
      <c r="A239" s="117" t="s">
        <v>566</v>
      </c>
      <c r="B239" s="186" t="s">
        <v>50</v>
      </c>
      <c r="C239" s="186" t="s">
        <v>195</v>
      </c>
      <c r="D239" s="187" t="s">
        <v>567</v>
      </c>
      <c r="E239" s="23" t="s">
        <v>568</v>
      </c>
      <c r="F239" s="209"/>
      <c r="G239" s="210"/>
      <c r="H239" s="211"/>
      <c r="I239" s="212">
        <v>5</v>
      </c>
      <c r="J239" s="81" t="s">
        <v>569</v>
      </c>
      <c r="K239" s="213">
        <f t="shared" ref="K239:K244" si="44">G239*I239</f>
        <v>0</v>
      </c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  <c r="Y239" s="214"/>
      <c r="Z239" s="214"/>
      <c r="AA239" s="214"/>
      <c r="AB239" s="214"/>
      <c r="AC239" s="214"/>
      <c r="AD239" s="214"/>
      <c r="AE239" s="214"/>
      <c r="AF239" s="214"/>
      <c r="AG239" s="214"/>
      <c r="AH239" s="214"/>
      <c r="AI239" s="214"/>
      <c r="AJ239" s="214"/>
      <c r="AK239" s="214"/>
      <c r="AL239" s="214"/>
      <c r="AM239" s="214"/>
      <c r="AN239" s="214"/>
      <c r="AO239" s="214"/>
      <c r="AP239" s="214"/>
      <c r="AQ239" s="214"/>
      <c r="AR239" s="214"/>
      <c r="AS239" s="214"/>
      <c r="AT239" s="214"/>
      <c r="AU239" s="214"/>
      <c r="AV239" s="214"/>
      <c r="AW239" s="214"/>
      <c r="AX239" s="214"/>
      <c r="AY239" s="214"/>
      <c r="AZ239" s="214"/>
      <c r="BA239" s="214"/>
      <c r="BB239" s="214"/>
      <c r="BC239" s="214"/>
      <c r="BD239" s="214"/>
      <c r="BE239" s="214"/>
      <c r="BF239" s="214"/>
      <c r="BG239" s="214"/>
      <c r="BH239" s="214"/>
      <c r="BI239" s="214"/>
      <c r="BJ239" s="214"/>
      <c r="BK239" s="214"/>
      <c r="BL239" s="214"/>
      <c r="BM239" s="214"/>
      <c r="BN239" s="214"/>
      <c r="BO239" s="214"/>
      <c r="BP239" s="214"/>
      <c r="BQ239" s="214"/>
      <c r="BR239" s="214"/>
      <c r="BS239" s="214"/>
      <c r="BT239" s="214"/>
      <c r="BU239" s="214"/>
      <c r="BV239" s="214"/>
      <c r="BW239" s="214"/>
      <c r="BX239" s="214"/>
      <c r="BY239" s="214"/>
      <c r="BZ239" s="214"/>
      <c r="CA239" s="214"/>
    </row>
    <row r="240" spans="1:80" s="215" customFormat="1" ht="16.5" customHeight="1" x14ac:dyDescent="0.25">
      <c r="A240" s="117" t="s">
        <v>570</v>
      </c>
      <c r="B240" s="186" t="s">
        <v>50</v>
      </c>
      <c r="C240" s="186" t="s">
        <v>195</v>
      </c>
      <c r="D240" s="187" t="s">
        <v>567</v>
      </c>
      <c r="E240" s="23" t="s">
        <v>571</v>
      </c>
      <c r="F240" s="209"/>
      <c r="G240" s="210"/>
      <c r="H240" s="211"/>
      <c r="I240" s="212">
        <v>5</v>
      </c>
      <c r="J240" s="81" t="s">
        <v>569</v>
      </c>
      <c r="K240" s="213">
        <f t="shared" si="44"/>
        <v>0</v>
      </c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  <c r="Y240" s="214"/>
      <c r="Z240" s="214"/>
      <c r="AA240" s="214"/>
      <c r="AB240" s="214"/>
      <c r="AC240" s="214"/>
      <c r="AD240" s="214"/>
      <c r="AE240" s="214"/>
      <c r="AF240" s="214"/>
      <c r="AG240" s="214"/>
      <c r="AH240" s="214"/>
      <c r="AI240" s="214"/>
      <c r="AJ240" s="214"/>
      <c r="AK240" s="214"/>
      <c r="AL240" s="214"/>
      <c r="AM240" s="214"/>
      <c r="AN240" s="214"/>
      <c r="AO240" s="214"/>
      <c r="AP240" s="214"/>
      <c r="AQ240" s="214"/>
      <c r="AR240" s="214"/>
      <c r="AS240" s="214"/>
      <c r="AT240" s="214"/>
      <c r="AU240" s="214"/>
      <c r="AV240" s="214"/>
      <c r="AW240" s="214"/>
      <c r="AX240" s="214"/>
      <c r="AY240" s="214"/>
      <c r="AZ240" s="214"/>
      <c r="BA240" s="214"/>
      <c r="BB240" s="214"/>
      <c r="BC240" s="214"/>
      <c r="BD240" s="214"/>
      <c r="BE240" s="214"/>
      <c r="BF240" s="214"/>
      <c r="BG240" s="214"/>
      <c r="BH240" s="214"/>
      <c r="BI240" s="214"/>
      <c r="BJ240" s="214"/>
      <c r="BK240" s="214"/>
      <c r="BL240" s="214"/>
      <c r="BM240" s="214"/>
      <c r="BN240" s="214"/>
      <c r="BO240" s="214"/>
      <c r="BP240" s="214"/>
      <c r="BQ240" s="214"/>
      <c r="BR240" s="214"/>
      <c r="BS240" s="214"/>
      <c r="BT240" s="214"/>
      <c r="BU240" s="214"/>
      <c r="BV240" s="214"/>
      <c r="BW240" s="214"/>
      <c r="BX240" s="214"/>
      <c r="BY240" s="214"/>
      <c r="BZ240" s="214"/>
      <c r="CA240" s="214"/>
    </row>
    <row r="241" spans="1:85" s="215" customFormat="1" ht="16.5" customHeight="1" x14ac:dyDescent="0.25">
      <c r="A241" s="117" t="s">
        <v>572</v>
      </c>
      <c r="B241" s="186" t="s">
        <v>50</v>
      </c>
      <c r="C241" s="186" t="s">
        <v>195</v>
      </c>
      <c r="D241" s="187" t="s">
        <v>567</v>
      </c>
      <c r="E241" s="23" t="s">
        <v>573</v>
      </c>
      <c r="F241" s="209"/>
      <c r="G241" s="210"/>
      <c r="H241" s="211"/>
      <c r="I241" s="212">
        <v>5</v>
      </c>
      <c r="J241" s="81" t="s">
        <v>569</v>
      </c>
      <c r="K241" s="213">
        <f t="shared" si="44"/>
        <v>0</v>
      </c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  <c r="AA241" s="214"/>
      <c r="AB241" s="214"/>
      <c r="AC241" s="214"/>
      <c r="AD241" s="214"/>
      <c r="AE241" s="214"/>
      <c r="AF241" s="214"/>
      <c r="AG241" s="214"/>
      <c r="AH241" s="214"/>
      <c r="AI241" s="214"/>
      <c r="AJ241" s="214"/>
      <c r="AK241" s="214"/>
      <c r="AL241" s="214"/>
      <c r="AM241" s="214"/>
      <c r="AN241" s="214"/>
      <c r="AO241" s="214"/>
      <c r="AP241" s="214"/>
      <c r="AQ241" s="214"/>
      <c r="AR241" s="214"/>
      <c r="AS241" s="214"/>
      <c r="AT241" s="214"/>
      <c r="AU241" s="214"/>
      <c r="AV241" s="214"/>
      <c r="AW241" s="214"/>
      <c r="AX241" s="214"/>
      <c r="AY241" s="214"/>
      <c r="AZ241" s="214"/>
      <c r="BA241" s="214"/>
      <c r="BB241" s="214"/>
      <c r="BC241" s="214"/>
      <c r="BD241" s="214"/>
      <c r="BE241" s="214"/>
      <c r="BF241" s="214"/>
      <c r="BG241" s="214"/>
      <c r="BH241" s="214"/>
      <c r="BI241" s="214"/>
      <c r="BJ241" s="214"/>
      <c r="BK241" s="214"/>
      <c r="BL241" s="214"/>
      <c r="BM241" s="214"/>
      <c r="BN241" s="214"/>
      <c r="BO241" s="214"/>
      <c r="BP241" s="214"/>
      <c r="BQ241" s="214"/>
      <c r="BR241" s="214"/>
      <c r="BS241" s="214"/>
      <c r="BT241" s="214"/>
      <c r="BU241" s="214"/>
      <c r="BV241" s="214"/>
      <c r="BW241" s="214"/>
      <c r="BX241" s="214"/>
      <c r="BY241" s="214"/>
      <c r="BZ241" s="214"/>
      <c r="CA241" s="214"/>
    </row>
    <row r="242" spans="1:85" s="215" customFormat="1" ht="16.5" customHeight="1" x14ac:dyDescent="0.25">
      <c r="A242" s="117" t="s">
        <v>574</v>
      </c>
      <c r="B242" s="186" t="s">
        <v>50</v>
      </c>
      <c r="C242" s="186" t="s">
        <v>195</v>
      </c>
      <c r="D242" s="187" t="s">
        <v>567</v>
      </c>
      <c r="E242" s="23" t="s">
        <v>575</v>
      </c>
      <c r="F242" s="209"/>
      <c r="G242" s="210"/>
      <c r="H242" s="211"/>
      <c r="I242" s="212">
        <v>5</v>
      </c>
      <c r="J242" s="81" t="s">
        <v>569</v>
      </c>
      <c r="K242" s="213">
        <f t="shared" si="44"/>
        <v>0</v>
      </c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  <c r="AA242" s="214"/>
      <c r="AB242" s="214"/>
      <c r="AC242" s="214"/>
      <c r="AD242" s="214"/>
      <c r="AE242" s="214"/>
      <c r="AF242" s="214"/>
      <c r="AG242" s="214"/>
      <c r="AH242" s="214"/>
      <c r="AI242" s="214"/>
      <c r="AJ242" s="214"/>
      <c r="AK242" s="214"/>
      <c r="AL242" s="214"/>
      <c r="AM242" s="214"/>
      <c r="AN242" s="214"/>
      <c r="AO242" s="214"/>
      <c r="AP242" s="214"/>
      <c r="AQ242" s="214"/>
      <c r="AR242" s="214"/>
      <c r="AS242" s="214"/>
      <c r="AT242" s="214"/>
      <c r="AU242" s="214"/>
      <c r="AV242" s="214"/>
      <c r="AW242" s="214"/>
      <c r="AX242" s="214"/>
      <c r="AY242" s="214"/>
      <c r="AZ242" s="214"/>
      <c r="BA242" s="214"/>
      <c r="BB242" s="214"/>
      <c r="BC242" s="214"/>
      <c r="BD242" s="214"/>
      <c r="BE242" s="214"/>
      <c r="BF242" s="214"/>
      <c r="BG242" s="214"/>
      <c r="BH242" s="214"/>
      <c r="BI242" s="214"/>
      <c r="BJ242" s="214"/>
      <c r="BK242" s="214"/>
      <c r="BL242" s="214"/>
      <c r="BM242" s="214"/>
      <c r="BN242" s="214"/>
      <c r="BO242" s="214"/>
      <c r="BP242" s="214"/>
      <c r="BQ242" s="214"/>
      <c r="BR242" s="214"/>
      <c r="BS242" s="214"/>
      <c r="BT242" s="214"/>
      <c r="BU242" s="214"/>
      <c r="BV242" s="214"/>
      <c r="BW242" s="214"/>
      <c r="BX242" s="214"/>
      <c r="BY242" s="214"/>
      <c r="BZ242" s="214"/>
      <c r="CA242" s="214"/>
    </row>
    <row r="243" spans="1:85" s="215" customFormat="1" ht="16.5" customHeight="1" x14ac:dyDescent="0.25">
      <c r="A243" s="117" t="s">
        <v>576</v>
      </c>
      <c r="B243" s="186" t="s">
        <v>50</v>
      </c>
      <c r="C243" s="186" t="s">
        <v>195</v>
      </c>
      <c r="D243" s="187" t="s">
        <v>567</v>
      </c>
      <c r="E243" s="23" t="s">
        <v>577</v>
      </c>
      <c r="F243" s="209"/>
      <c r="G243" s="210"/>
      <c r="H243" s="211"/>
      <c r="I243" s="212">
        <v>5</v>
      </c>
      <c r="J243" s="81" t="s">
        <v>569</v>
      </c>
      <c r="K243" s="213">
        <f t="shared" si="44"/>
        <v>0</v>
      </c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  <c r="X243" s="214"/>
      <c r="Y243" s="214"/>
      <c r="Z243" s="214"/>
      <c r="AA243" s="214"/>
      <c r="AB243" s="214"/>
      <c r="AC243" s="214"/>
      <c r="AD243" s="214"/>
      <c r="AE243" s="214"/>
      <c r="AF243" s="214"/>
      <c r="AG243" s="214"/>
      <c r="AH243" s="214"/>
      <c r="AI243" s="214"/>
      <c r="AJ243" s="214"/>
      <c r="AK243" s="214"/>
      <c r="AL243" s="214"/>
      <c r="AM243" s="214"/>
      <c r="AN243" s="214"/>
      <c r="AO243" s="214"/>
      <c r="AP243" s="214"/>
      <c r="AQ243" s="214"/>
      <c r="AR243" s="214"/>
      <c r="AS243" s="214"/>
      <c r="AT243" s="214"/>
      <c r="AU243" s="214"/>
      <c r="AV243" s="214"/>
      <c r="AW243" s="214"/>
      <c r="AX243" s="214"/>
      <c r="AY243" s="214"/>
      <c r="AZ243" s="214"/>
      <c r="BA243" s="214"/>
      <c r="BB243" s="214"/>
      <c r="BC243" s="214"/>
      <c r="BD243" s="214"/>
      <c r="BE243" s="214"/>
      <c r="BF243" s="214"/>
      <c r="BG243" s="214"/>
      <c r="BH243" s="214"/>
      <c r="BI243" s="214"/>
      <c r="BJ243" s="214"/>
      <c r="BK243" s="214"/>
      <c r="BL243" s="214"/>
      <c r="BM243" s="214"/>
      <c r="BN243" s="214"/>
      <c r="BO243" s="214"/>
      <c r="BP243" s="214"/>
      <c r="BQ243" s="214"/>
      <c r="BR243" s="214"/>
      <c r="BS243" s="214"/>
      <c r="BT243" s="214"/>
      <c r="BU243" s="214"/>
      <c r="BV243" s="214"/>
      <c r="BW243" s="214"/>
      <c r="BX243" s="214"/>
      <c r="BY243" s="214"/>
      <c r="BZ243" s="214"/>
      <c r="CA243" s="214"/>
    </row>
    <row r="244" spans="1:85" s="215" customFormat="1" ht="16.5" customHeight="1" x14ac:dyDescent="0.25">
      <c r="A244" s="117" t="s">
        <v>578</v>
      </c>
      <c r="B244" s="186" t="s">
        <v>50</v>
      </c>
      <c r="C244" s="186" t="s">
        <v>195</v>
      </c>
      <c r="D244" s="187" t="s">
        <v>567</v>
      </c>
      <c r="E244" s="23" t="s">
        <v>579</v>
      </c>
      <c r="F244" s="209"/>
      <c r="G244" s="210"/>
      <c r="H244" s="211"/>
      <c r="I244" s="212">
        <v>4.5</v>
      </c>
      <c r="J244" s="81" t="s">
        <v>569</v>
      </c>
      <c r="K244" s="213">
        <f t="shared" si="44"/>
        <v>0</v>
      </c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  <c r="X244" s="214"/>
      <c r="Y244" s="214"/>
      <c r="Z244" s="214"/>
      <c r="AA244" s="214"/>
      <c r="AB244" s="214"/>
      <c r="AC244" s="214"/>
      <c r="AD244" s="214"/>
      <c r="AE244" s="214"/>
      <c r="AF244" s="214"/>
      <c r="AG244" s="214"/>
      <c r="AH244" s="214"/>
      <c r="AI244" s="214"/>
      <c r="AJ244" s="214"/>
      <c r="AK244" s="214"/>
      <c r="AL244" s="214"/>
      <c r="AM244" s="214"/>
      <c r="AN244" s="214"/>
      <c r="AO244" s="214"/>
      <c r="AP244" s="214"/>
      <c r="AQ244" s="214"/>
      <c r="AR244" s="214"/>
      <c r="AS244" s="214"/>
      <c r="AT244" s="214"/>
      <c r="AU244" s="214"/>
      <c r="AV244" s="214"/>
      <c r="AW244" s="214"/>
      <c r="AX244" s="214"/>
      <c r="AY244" s="214"/>
      <c r="AZ244" s="214"/>
      <c r="BA244" s="214"/>
      <c r="BB244" s="214"/>
      <c r="BC244" s="214"/>
      <c r="BD244" s="214"/>
      <c r="BE244" s="214"/>
      <c r="BF244" s="214"/>
      <c r="BG244" s="214"/>
      <c r="BH244" s="214"/>
      <c r="BI244" s="214"/>
      <c r="BJ244" s="214"/>
      <c r="BK244" s="214"/>
      <c r="BL244" s="214"/>
      <c r="BM244" s="214"/>
      <c r="BN244" s="214"/>
      <c r="BO244" s="214"/>
      <c r="BP244" s="214"/>
      <c r="BQ244" s="214"/>
      <c r="BR244" s="214"/>
      <c r="BS244" s="214"/>
      <c r="BT244" s="214"/>
      <c r="BU244" s="214"/>
      <c r="BV244" s="214"/>
      <c r="BW244" s="214"/>
      <c r="BX244" s="214"/>
      <c r="BY244" s="214"/>
      <c r="BZ244" s="214"/>
      <c r="CA244" s="214"/>
    </row>
    <row r="245" spans="1:85" s="215" customFormat="1" ht="16.5" customHeight="1" x14ac:dyDescent="0.25">
      <c r="A245" s="117" t="s">
        <v>580</v>
      </c>
      <c r="B245" s="186" t="s">
        <v>50</v>
      </c>
      <c r="C245" s="186" t="s">
        <v>195</v>
      </c>
      <c r="D245" s="187" t="s">
        <v>581</v>
      </c>
      <c r="E245" s="23" t="s">
        <v>582</v>
      </c>
      <c r="F245" s="209"/>
      <c r="G245" s="210"/>
      <c r="H245" s="211"/>
      <c r="I245" s="212">
        <v>6</v>
      </c>
      <c r="J245" s="81" t="s">
        <v>583</v>
      </c>
      <c r="K245" s="213">
        <f t="shared" si="37"/>
        <v>0</v>
      </c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  <c r="X245" s="214"/>
      <c r="Y245" s="214"/>
      <c r="Z245" s="214"/>
      <c r="AA245" s="214"/>
      <c r="AB245" s="214"/>
      <c r="AC245" s="214"/>
      <c r="AD245" s="214"/>
      <c r="AE245" s="214"/>
      <c r="AF245" s="214"/>
      <c r="AG245" s="214"/>
      <c r="AH245" s="214"/>
      <c r="AI245" s="214"/>
      <c r="AJ245" s="214"/>
      <c r="AK245" s="214"/>
      <c r="AL245" s="214"/>
      <c r="AM245" s="214"/>
      <c r="AN245" s="214"/>
      <c r="AO245" s="214"/>
      <c r="AP245" s="214"/>
      <c r="AQ245" s="214"/>
      <c r="AR245" s="214"/>
      <c r="AS245" s="214"/>
      <c r="AT245" s="214"/>
      <c r="AU245" s="214"/>
      <c r="AV245" s="214"/>
      <c r="AW245" s="214"/>
      <c r="AX245" s="214"/>
      <c r="AY245" s="214"/>
      <c r="AZ245" s="214"/>
      <c r="BA245" s="214"/>
      <c r="BB245" s="214"/>
      <c r="BC245" s="214"/>
      <c r="BD245" s="214"/>
      <c r="BE245" s="214"/>
      <c r="BF245" s="214"/>
      <c r="BG245" s="214"/>
      <c r="BH245" s="214"/>
      <c r="BI245" s="214"/>
      <c r="BJ245" s="214"/>
      <c r="BK245" s="214"/>
      <c r="BL245" s="214"/>
      <c r="BM245" s="214"/>
      <c r="BN245" s="214"/>
      <c r="BO245" s="214"/>
      <c r="BP245" s="214"/>
      <c r="BQ245" s="214"/>
      <c r="BR245" s="214"/>
      <c r="BS245" s="214"/>
      <c r="BT245" s="214"/>
      <c r="BU245" s="214"/>
      <c r="BV245" s="214"/>
      <c r="BW245" s="214"/>
      <c r="BX245" s="214"/>
      <c r="BY245" s="214"/>
      <c r="BZ245" s="214"/>
      <c r="CA245" s="214"/>
    </row>
    <row r="246" spans="1:85" s="215" customFormat="1" ht="16.5" customHeight="1" x14ac:dyDescent="0.25">
      <c r="A246" s="117" t="s">
        <v>584</v>
      </c>
      <c r="B246" s="186" t="s">
        <v>50</v>
      </c>
      <c r="C246" s="186" t="s">
        <v>195</v>
      </c>
      <c r="D246" s="187" t="s">
        <v>581</v>
      </c>
      <c r="E246" s="23" t="s">
        <v>585</v>
      </c>
      <c r="F246" s="209"/>
      <c r="G246" s="210"/>
      <c r="H246" s="211"/>
      <c r="I246" s="212">
        <v>4</v>
      </c>
      <c r="J246" s="81" t="s">
        <v>583</v>
      </c>
      <c r="K246" s="213">
        <f t="shared" si="37"/>
        <v>0</v>
      </c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  <c r="X246" s="214"/>
      <c r="Y246" s="214"/>
      <c r="Z246" s="214"/>
      <c r="AA246" s="214"/>
      <c r="AB246" s="214"/>
      <c r="AC246" s="214"/>
      <c r="AD246" s="214"/>
      <c r="AE246" s="214"/>
      <c r="AF246" s="214"/>
      <c r="AG246" s="214"/>
      <c r="AH246" s="214"/>
      <c r="AI246" s="214"/>
      <c r="AJ246" s="214"/>
      <c r="AK246" s="214"/>
      <c r="AL246" s="214"/>
      <c r="AM246" s="214"/>
      <c r="AN246" s="214"/>
      <c r="AO246" s="214"/>
      <c r="AP246" s="214"/>
      <c r="AQ246" s="214"/>
      <c r="AR246" s="214"/>
      <c r="AS246" s="214"/>
      <c r="AT246" s="214"/>
      <c r="AU246" s="214"/>
      <c r="AV246" s="214"/>
      <c r="AW246" s="214"/>
      <c r="AX246" s="214"/>
      <c r="AY246" s="214"/>
      <c r="AZ246" s="214"/>
      <c r="BA246" s="214"/>
      <c r="BB246" s="214"/>
      <c r="BC246" s="214"/>
      <c r="BD246" s="214"/>
      <c r="BE246" s="214"/>
      <c r="BF246" s="214"/>
      <c r="BG246" s="214"/>
      <c r="BH246" s="214"/>
      <c r="BI246" s="214"/>
      <c r="BJ246" s="214"/>
      <c r="BK246" s="214"/>
      <c r="BL246" s="214"/>
      <c r="BM246" s="214"/>
      <c r="BN246" s="214"/>
      <c r="BO246" s="214"/>
      <c r="BP246" s="214"/>
      <c r="BQ246" s="214"/>
      <c r="BR246" s="214"/>
      <c r="BS246" s="214"/>
      <c r="BT246" s="214"/>
      <c r="BU246" s="214"/>
      <c r="BV246" s="214"/>
      <c r="BW246" s="214"/>
      <c r="BX246" s="214"/>
      <c r="BY246" s="214"/>
      <c r="BZ246" s="214"/>
      <c r="CA246" s="214"/>
    </row>
    <row r="247" spans="1:85" s="215" customFormat="1" ht="16.5" customHeight="1" x14ac:dyDescent="0.25">
      <c r="A247" s="117" t="s">
        <v>586</v>
      </c>
      <c r="B247" s="186" t="s">
        <v>50</v>
      </c>
      <c r="C247" s="186" t="s">
        <v>195</v>
      </c>
      <c r="D247" s="187" t="s">
        <v>581</v>
      </c>
      <c r="E247" s="23" t="s">
        <v>587</v>
      </c>
      <c r="F247" s="209"/>
      <c r="G247" s="210"/>
      <c r="H247" s="211"/>
      <c r="I247" s="212">
        <v>6</v>
      </c>
      <c r="J247" s="81" t="s">
        <v>583</v>
      </c>
      <c r="K247" s="213">
        <f t="shared" si="37"/>
        <v>0</v>
      </c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  <c r="X247" s="214"/>
      <c r="Y247" s="214"/>
      <c r="Z247" s="214"/>
      <c r="AA247" s="214"/>
      <c r="AB247" s="214"/>
      <c r="AC247" s="214"/>
      <c r="AD247" s="214"/>
      <c r="AE247" s="214"/>
      <c r="AF247" s="214"/>
      <c r="AG247" s="214"/>
      <c r="AH247" s="214"/>
      <c r="AI247" s="214"/>
      <c r="AJ247" s="214"/>
      <c r="AK247" s="214"/>
      <c r="AL247" s="214"/>
      <c r="AM247" s="214"/>
      <c r="AN247" s="214"/>
      <c r="AO247" s="214"/>
      <c r="AP247" s="214"/>
      <c r="AQ247" s="214"/>
      <c r="AR247" s="214"/>
      <c r="AS247" s="214"/>
      <c r="AT247" s="214"/>
      <c r="AU247" s="214"/>
      <c r="AV247" s="214"/>
      <c r="AW247" s="214"/>
      <c r="AX247" s="214"/>
      <c r="AY247" s="214"/>
      <c r="AZ247" s="214"/>
      <c r="BA247" s="214"/>
      <c r="BB247" s="214"/>
      <c r="BC247" s="214"/>
      <c r="BD247" s="214"/>
      <c r="BE247" s="214"/>
      <c r="BF247" s="214"/>
      <c r="BG247" s="214"/>
      <c r="BH247" s="214"/>
      <c r="BI247" s="214"/>
      <c r="BJ247" s="214"/>
      <c r="BK247" s="214"/>
      <c r="BL247" s="214"/>
      <c r="BM247" s="214"/>
      <c r="BN247" s="214"/>
      <c r="BO247" s="214"/>
      <c r="BP247" s="214"/>
      <c r="BQ247" s="214"/>
      <c r="BR247" s="214"/>
      <c r="BS247" s="214"/>
      <c r="BT247" s="214"/>
      <c r="BU247" s="214"/>
      <c r="BV247" s="214"/>
      <c r="BW247" s="214"/>
      <c r="BX247" s="214"/>
      <c r="BY247" s="214"/>
      <c r="BZ247" s="214"/>
      <c r="CA247" s="214"/>
    </row>
    <row r="248" spans="1:85" s="215" customFormat="1" ht="16.5" customHeight="1" x14ac:dyDescent="0.25">
      <c r="A248" s="117" t="s">
        <v>588</v>
      </c>
      <c r="B248" s="186" t="s">
        <v>50</v>
      </c>
      <c r="C248" s="186" t="s">
        <v>195</v>
      </c>
      <c r="D248" s="187" t="s">
        <v>581</v>
      </c>
      <c r="E248" s="23" t="s">
        <v>589</v>
      </c>
      <c r="F248" s="209"/>
      <c r="G248" s="210"/>
      <c r="H248" s="211"/>
      <c r="I248" s="212">
        <v>3.5</v>
      </c>
      <c r="J248" s="81" t="s">
        <v>583</v>
      </c>
      <c r="K248" s="213">
        <f t="shared" si="37"/>
        <v>0</v>
      </c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  <c r="Y248" s="214"/>
      <c r="Z248" s="214"/>
      <c r="AA248" s="214"/>
      <c r="AB248" s="214"/>
      <c r="AC248" s="214"/>
      <c r="AD248" s="214"/>
      <c r="AE248" s="214"/>
      <c r="AF248" s="214"/>
      <c r="AG248" s="214"/>
      <c r="AH248" s="214"/>
      <c r="AI248" s="214"/>
      <c r="AJ248" s="214"/>
      <c r="AK248" s="214"/>
      <c r="AL248" s="214"/>
      <c r="AM248" s="214"/>
      <c r="AN248" s="214"/>
      <c r="AO248" s="214"/>
      <c r="AP248" s="214"/>
      <c r="AQ248" s="214"/>
      <c r="AR248" s="214"/>
      <c r="AS248" s="214"/>
      <c r="AT248" s="214"/>
      <c r="AU248" s="214"/>
      <c r="AV248" s="214"/>
      <c r="AW248" s="214"/>
      <c r="AX248" s="214"/>
      <c r="AY248" s="214"/>
      <c r="AZ248" s="214"/>
      <c r="BA248" s="214"/>
      <c r="BB248" s="214"/>
      <c r="BC248" s="214"/>
      <c r="BD248" s="214"/>
      <c r="BE248" s="214"/>
      <c r="BF248" s="214"/>
      <c r="BG248" s="214"/>
      <c r="BH248" s="214"/>
      <c r="BI248" s="214"/>
      <c r="BJ248" s="214"/>
      <c r="BK248" s="214"/>
      <c r="BL248" s="214"/>
      <c r="BM248" s="214"/>
      <c r="BN248" s="214"/>
      <c r="BO248" s="214"/>
      <c r="BP248" s="214"/>
      <c r="BQ248" s="214"/>
      <c r="BR248" s="214"/>
      <c r="BS248" s="214"/>
      <c r="BT248" s="214"/>
      <c r="BU248" s="214"/>
      <c r="BV248" s="214"/>
      <c r="BW248" s="214"/>
      <c r="BX248" s="214"/>
      <c r="BY248" s="214"/>
      <c r="BZ248" s="214"/>
      <c r="CA248" s="214"/>
    </row>
    <row r="249" spans="1:85" s="215" customFormat="1" ht="16.5" customHeight="1" x14ac:dyDescent="0.25">
      <c r="A249" s="117" t="s">
        <v>590</v>
      </c>
      <c r="B249" s="186" t="s">
        <v>50</v>
      </c>
      <c r="C249" s="186" t="s">
        <v>195</v>
      </c>
      <c r="D249" s="187" t="s">
        <v>581</v>
      </c>
      <c r="E249" s="23" t="s">
        <v>591</v>
      </c>
      <c r="F249" s="209"/>
      <c r="G249" s="210"/>
      <c r="H249" s="211"/>
      <c r="I249" s="212">
        <v>4.5</v>
      </c>
      <c r="J249" s="81" t="s">
        <v>583</v>
      </c>
      <c r="K249" s="213">
        <f t="shared" ref="K249" si="45">G249*I249</f>
        <v>0</v>
      </c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  <c r="X249" s="214"/>
      <c r="Y249" s="214"/>
      <c r="Z249" s="214"/>
      <c r="AA249" s="214"/>
      <c r="AB249" s="214"/>
      <c r="AC249" s="214"/>
      <c r="AD249" s="214"/>
      <c r="AE249" s="214"/>
      <c r="AF249" s="214"/>
      <c r="AG249" s="214"/>
      <c r="AH249" s="214"/>
      <c r="AI249" s="214"/>
      <c r="AJ249" s="214"/>
      <c r="AK249" s="214"/>
      <c r="AL249" s="214"/>
      <c r="AM249" s="214"/>
      <c r="AN249" s="214"/>
      <c r="AO249" s="214"/>
      <c r="AP249" s="214"/>
      <c r="AQ249" s="214"/>
      <c r="AR249" s="214"/>
      <c r="AS249" s="214"/>
      <c r="AT249" s="214"/>
      <c r="AU249" s="214"/>
      <c r="AV249" s="214"/>
      <c r="AW249" s="214"/>
      <c r="AX249" s="214"/>
      <c r="AY249" s="214"/>
      <c r="AZ249" s="214"/>
      <c r="BA249" s="214"/>
      <c r="BB249" s="214"/>
      <c r="BC249" s="214"/>
      <c r="BD249" s="214"/>
      <c r="BE249" s="214"/>
      <c r="BF249" s="214"/>
      <c r="BG249" s="214"/>
      <c r="BH249" s="214"/>
      <c r="BI249" s="214"/>
      <c r="BJ249" s="214"/>
      <c r="BK249" s="214"/>
      <c r="BL249" s="214"/>
      <c r="BM249" s="214"/>
      <c r="BN249" s="214"/>
      <c r="BO249" s="214"/>
      <c r="BP249" s="214"/>
      <c r="BQ249" s="214"/>
      <c r="BR249" s="214"/>
      <c r="BS249" s="214"/>
      <c r="BT249" s="214"/>
      <c r="BU249" s="214"/>
      <c r="BV249" s="214"/>
      <c r="BW249" s="214"/>
      <c r="BX249" s="214"/>
      <c r="BY249" s="214"/>
      <c r="BZ249" s="214"/>
      <c r="CA249" s="214"/>
    </row>
    <row r="250" spans="1:85" s="215" customFormat="1" ht="16.5" customHeight="1" x14ac:dyDescent="0.25">
      <c r="A250" s="117" t="s">
        <v>592</v>
      </c>
      <c r="B250" s="186" t="s">
        <v>50</v>
      </c>
      <c r="C250" s="186" t="s">
        <v>195</v>
      </c>
      <c r="D250" s="187" t="s">
        <v>581</v>
      </c>
      <c r="E250" s="23" t="s">
        <v>593</v>
      </c>
      <c r="F250" s="209"/>
      <c r="G250" s="210"/>
      <c r="H250" s="211"/>
      <c r="I250" s="212">
        <v>6.2</v>
      </c>
      <c r="J250" s="81" t="s">
        <v>583</v>
      </c>
      <c r="K250" s="213">
        <f t="shared" ref="K250:K251" si="46">G250*I250</f>
        <v>0</v>
      </c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  <c r="X250" s="214"/>
      <c r="Y250" s="214"/>
      <c r="Z250" s="214"/>
      <c r="AA250" s="214"/>
      <c r="AB250" s="214"/>
      <c r="AC250" s="214"/>
      <c r="AD250" s="214"/>
      <c r="AE250" s="214"/>
      <c r="AF250" s="214"/>
      <c r="AG250" s="214"/>
      <c r="AH250" s="214"/>
      <c r="AI250" s="214"/>
      <c r="AJ250" s="214"/>
      <c r="AK250" s="214"/>
      <c r="AL250" s="214"/>
      <c r="AM250" s="214"/>
      <c r="AN250" s="214"/>
      <c r="AO250" s="214"/>
      <c r="AP250" s="214"/>
      <c r="AQ250" s="214"/>
      <c r="AR250" s="214"/>
      <c r="AS250" s="214"/>
      <c r="AT250" s="214"/>
      <c r="AU250" s="214"/>
      <c r="AV250" s="214"/>
      <c r="AW250" s="214"/>
      <c r="AX250" s="214"/>
      <c r="AY250" s="214"/>
      <c r="AZ250" s="214"/>
      <c r="BA250" s="214"/>
      <c r="BB250" s="214"/>
      <c r="BC250" s="214"/>
      <c r="BD250" s="214"/>
      <c r="BE250" s="214"/>
      <c r="BF250" s="214"/>
      <c r="BG250" s="214"/>
      <c r="BH250" s="214"/>
      <c r="BI250" s="214"/>
      <c r="BJ250" s="214"/>
      <c r="BK250" s="214"/>
      <c r="BL250" s="214"/>
      <c r="BM250" s="214"/>
      <c r="BN250" s="214"/>
      <c r="BO250" s="214"/>
      <c r="BP250" s="214"/>
      <c r="BQ250" s="214"/>
      <c r="BR250" s="214"/>
      <c r="BS250" s="214"/>
      <c r="BT250" s="214"/>
      <c r="BU250" s="214"/>
      <c r="BV250" s="214"/>
      <c r="BW250" s="214"/>
      <c r="BX250" s="214"/>
      <c r="BY250" s="214"/>
      <c r="BZ250" s="214"/>
      <c r="CA250" s="214"/>
    </row>
    <row r="251" spans="1:85" s="215" customFormat="1" ht="16.5" customHeight="1" x14ac:dyDescent="0.25">
      <c r="A251" s="117" t="s">
        <v>594</v>
      </c>
      <c r="B251" s="186" t="s">
        <v>50</v>
      </c>
      <c r="C251" s="186" t="s">
        <v>195</v>
      </c>
      <c r="D251" s="187" t="s">
        <v>581</v>
      </c>
      <c r="E251" s="23" t="s">
        <v>595</v>
      </c>
      <c r="F251" s="209"/>
      <c r="G251" s="210"/>
      <c r="H251" s="211"/>
      <c r="I251" s="212">
        <v>6</v>
      </c>
      <c r="J251" s="81" t="s">
        <v>583</v>
      </c>
      <c r="K251" s="213">
        <f t="shared" si="46"/>
        <v>0</v>
      </c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  <c r="W251" s="214"/>
      <c r="X251" s="214"/>
      <c r="Y251" s="214"/>
      <c r="Z251" s="214"/>
      <c r="AA251" s="214"/>
      <c r="AB251" s="214"/>
      <c r="AC251" s="214"/>
      <c r="AD251" s="214"/>
      <c r="AE251" s="214"/>
      <c r="AF251" s="214"/>
      <c r="AG251" s="214"/>
      <c r="AH251" s="214"/>
      <c r="AI251" s="214"/>
      <c r="AJ251" s="214"/>
      <c r="AK251" s="214"/>
      <c r="AL251" s="214"/>
      <c r="AM251" s="214"/>
      <c r="AN251" s="214"/>
      <c r="AO251" s="214"/>
      <c r="AP251" s="214"/>
      <c r="AQ251" s="214"/>
      <c r="AR251" s="214"/>
      <c r="AS251" s="214"/>
      <c r="AT251" s="214"/>
      <c r="AU251" s="214"/>
      <c r="AV251" s="214"/>
      <c r="AW251" s="214"/>
      <c r="AX251" s="214"/>
      <c r="AY251" s="214"/>
      <c r="AZ251" s="214"/>
      <c r="BA251" s="214"/>
      <c r="BB251" s="214"/>
      <c r="BC251" s="214"/>
      <c r="BD251" s="214"/>
      <c r="BE251" s="214"/>
      <c r="BF251" s="214"/>
      <c r="BG251" s="214"/>
      <c r="BH251" s="214"/>
      <c r="BI251" s="214"/>
      <c r="BJ251" s="214"/>
      <c r="BK251" s="214"/>
      <c r="BL251" s="214"/>
      <c r="BM251" s="214"/>
      <c r="BN251" s="214"/>
      <c r="BO251" s="214"/>
      <c r="BP251" s="214"/>
      <c r="BQ251" s="214"/>
      <c r="BR251" s="214"/>
      <c r="BS251" s="214"/>
      <c r="BT251" s="214"/>
      <c r="BU251" s="214"/>
      <c r="BV251" s="214"/>
      <c r="BW251" s="214"/>
      <c r="BX251" s="214"/>
      <c r="BY251" s="214"/>
      <c r="BZ251" s="214"/>
      <c r="CA251" s="214"/>
    </row>
    <row r="252" spans="1:85" s="215" customFormat="1" ht="16.5" customHeight="1" x14ac:dyDescent="0.25">
      <c r="A252" s="117" t="s">
        <v>596</v>
      </c>
      <c r="B252" s="186" t="s">
        <v>50</v>
      </c>
      <c r="C252" s="186" t="s">
        <v>195</v>
      </c>
      <c r="D252" s="187" t="s">
        <v>581</v>
      </c>
      <c r="E252" s="23" t="s">
        <v>597</v>
      </c>
      <c r="F252" s="209"/>
      <c r="G252" s="210"/>
      <c r="H252" s="211"/>
      <c r="I252" s="212">
        <v>6.2</v>
      </c>
      <c r="J252" s="81" t="s">
        <v>583</v>
      </c>
      <c r="K252" s="213">
        <f t="shared" si="37"/>
        <v>0</v>
      </c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  <c r="X252" s="214"/>
      <c r="Y252" s="214"/>
      <c r="Z252" s="214"/>
      <c r="AA252" s="214"/>
      <c r="AB252" s="214"/>
      <c r="AC252" s="214"/>
      <c r="AD252" s="214"/>
      <c r="AE252" s="214"/>
      <c r="AF252" s="214"/>
      <c r="AG252" s="214"/>
      <c r="AH252" s="214"/>
      <c r="AI252" s="214"/>
      <c r="AJ252" s="214"/>
      <c r="AK252" s="214"/>
      <c r="AL252" s="214"/>
      <c r="AM252" s="214"/>
      <c r="AN252" s="214"/>
      <c r="AO252" s="214"/>
      <c r="AP252" s="214"/>
      <c r="AQ252" s="214"/>
      <c r="AR252" s="214"/>
      <c r="AS252" s="214"/>
      <c r="AT252" s="214"/>
      <c r="AU252" s="214"/>
      <c r="AV252" s="214"/>
      <c r="AW252" s="214"/>
      <c r="AX252" s="214"/>
      <c r="AY252" s="214"/>
      <c r="AZ252" s="214"/>
      <c r="BA252" s="214"/>
      <c r="BB252" s="214"/>
      <c r="BC252" s="214"/>
      <c r="BD252" s="214"/>
      <c r="BE252" s="214"/>
      <c r="BF252" s="214"/>
      <c r="BG252" s="214"/>
      <c r="BH252" s="214"/>
      <c r="BI252" s="214"/>
      <c r="BJ252" s="214"/>
      <c r="BK252" s="214"/>
      <c r="BL252" s="214"/>
      <c r="BM252" s="214"/>
      <c r="BN252" s="214"/>
      <c r="BO252" s="214"/>
      <c r="BP252" s="214"/>
      <c r="BQ252" s="214"/>
      <c r="BR252" s="214"/>
      <c r="BS252" s="214"/>
      <c r="BT252" s="214"/>
      <c r="BU252" s="214"/>
      <c r="BV252" s="214"/>
      <c r="BW252" s="214"/>
      <c r="BX252" s="214"/>
      <c r="BY252" s="214"/>
      <c r="BZ252" s="214"/>
      <c r="CA252" s="214"/>
    </row>
    <row r="253" spans="1:85" s="215" customFormat="1" ht="16.5" customHeight="1" x14ac:dyDescent="0.25">
      <c r="A253" s="117" t="s">
        <v>598</v>
      </c>
      <c r="B253" s="186" t="s">
        <v>50</v>
      </c>
      <c r="C253" s="186" t="s">
        <v>195</v>
      </c>
      <c r="D253" s="187" t="s">
        <v>581</v>
      </c>
      <c r="E253" s="23" t="s">
        <v>599</v>
      </c>
      <c r="F253" s="209"/>
      <c r="G253" s="210"/>
      <c r="H253" s="211"/>
      <c r="I253" s="212">
        <v>4</v>
      </c>
      <c r="J253" s="81" t="s">
        <v>583</v>
      </c>
      <c r="K253" s="213">
        <f t="shared" si="37"/>
        <v>0</v>
      </c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  <c r="X253" s="214"/>
      <c r="Y253" s="214"/>
      <c r="Z253" s="214"/>
      <c r="AA253" s="214"/>
      <c r="AB253" s="214"/>
      <c r="AC253" s="214"/>
      <c r="AD253" s="214"/>
      <c r="AE253" s="214"/>
      <c r="AF253" s="214"/>
      <c r="AG253" s="214"/>
      <c r="AH253" s="214"/>
      <c r="AI253" s="214"/>
      <c r="AJ253" s="214"/>
      <c r="AK253" s="214"/>
      <c r="AL253" s="214"/>
      <c r="AM253" s="214"/>
      <c r="AN253" s="214"/>
      <c r="AO253" s="214"/>
      <c r="AP253" s="214"/>
      <c r="AQ253" s="214"/>
      <c r="AR253" s="214"/>
      <c r="AS253" s="214"/>
      <c r="AT253" s="214"/>
      <c r="AU253" s="214"/>
      <c r="AV253" s="214"/>
      <c r="AW253" s="214"/>
      <c r="AX253" s="214"/>
      <c r="AY253" s="214"/>
      <c r="AZ253" s="214"/>
      <c r="BA253" s="214"/>
      <c r="BB253" s="214"/>
      <c r="BC253" s="214"/>
      <c r="BD253" s="214"/>
      <c r="BE253" s="214"/>
      <c r="BF253" s="214"/>
      <c r="BG253" s="214"/>
      <c r="BH253" s="214"/>
      <c r="BI253" s="214"/>
      <c r="BJ253" s="214"/>
      <c r="BK253" s="214"/>
      <c r="BL253" s="214"/>
      <c r="BM253" s="214"/>
      <c r="BN253" s="214"/>
      <c r="BO253" s="214"/>
      <c r="BP253" s="214"/>
      <c r="BQ253" s="214"/>
      <c r="BR253" s="214"/>
      <c r="BS253" s="214"/>
      <c r="BT253" s="214"/>
      <c r="BU253" s="214"/>
      <c r="BV253" s="214"/>
      <c r="BW253" s="214"/>
      <c r="BX253" s="214"/>
      <c r="BY253" s="214"/>
      <c r="BZ253" s="214"/>
      <c r="CA253" s="214"/>
    </row>
    <row r="254" spans="1:85" s="215" customFormat="1" ht="16.5" customHeight="1" x14ac:dyDescent="0.25">
      <c r="A254" s="117" t="s">
        <v>600</v>
      </c>
      <c r="B254" s="186" t="s">
        <v>50</v>
      </c>
      <c r="C254" s="186" t="s">
        <v>195</v>
      </c>
      <c r="D254" s="187" t="s">
        <v>581</v>
      </c>
      <c r="E254" s="23" t="s">
        <v>601</v>
      </c>
      <c r="F254" s="209"/>
      <c r="G254" s="210"/>
      <c r="H254" s="211"/>
      <c r="I254" s="212">
        <v>5</v>
      </c>
      <c r="J254" s="81" t="s">
        <v>583</v>
      </c>
      <c r="K254" s="213">
        <f t="shared" ref="K254" si="47">G254*I254</f>
        <v>0</v>
      </c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  <c r="X254" s="214"/>
      <c r="Y254" s="214"/>
      <c r="Z254" s="214"/>
      <c r="AA254" s="214"/>
      <c r="AB254" s="214"/>
      <c r="AC254" s="214"/>
      <c r="AD254" s="214"/>
      <c r="AE254" s="214"/>
      <c r="AF254" s="214"/>
      <c r="AG254" s="214"/>
      <c r="AH254" s="214"/>
      <c r="AI254" s="214"/>
      <c r="AJ254" s="214"/>
      <c r="AK254" s="214"/>
      <c r="AL254" s="214"/>
      <c r="AM254" s="214"/>
      <c r="AN254" s="214"/>
      <c r="AO254" s="214"/>
      <c r="AP254" s="214"/>
      <c r="AQ254" s="214"/>
      <c r="AR254" s="214"/>
      <c r="AS254" s="214"/>
      <c r="AT254" s="214"/>
      <c r="AU254" s="214"/>
      <c r="AV254" s="214"/>
      <c r="AW254" s="214"/>
      <c r="AX254" s="214"/>
      <c r="AY254" s="214"/>
      <c r="AZ254" s="214"/>
      <c r="BA254" s="214"/>
      <c r="BB254" s="214"/>
      <c r="BC254" s="214"/>
      <c r="BD254" s="214"/>
      <c r="BE254" s="214"/>
      <c r="BF254" s="214"/>
      <c r="BG254" s="214"/>
      <c r="BH254" s="214"/>
      <c r="BI254" s="214"/>
      <c r="BJ254" s="214"/>
      <c r="BK254" s="214"/>
      <c r="BL254" s="214"/>
      <c r="BM254" s="214"/>
      <c r="BN254" s="214"/>
      <c r="BO254" s="214"/>
      <c r="BP254" s="214"/>
      <c r="BQ254" s="214"/>
      <c r="BR254" s="214"/>
      <c r="BS254" s="214"/>
      <c r="BT254" s="214"/>
      <c r="BU254" s="214"/>
      <c r="BV254" s="214"/>
      <c r="BW254" s="214"/>
      <c r="BX254" s="214"/>
      <c r="BY254" s="214"/>
      <c r="BZ254" s="214"/>
      <c r="CA254" s="214"/>
    </row>
    <row r="255" spans="1:85" s="9" customFormat="1" ht="18.95" customHeight="1" x14ac:dyDescent="0.25">
      <c r="A255" s="41"/>
      <c r="B255" s="191"/>
      <c r="C255" s="191"/>
      <c r="D255" s="192"/>
      <c r="E255" s="127" t="s">
        <v>602</v>
      </c>
      <c r="F255" s="142"/>
      <c r="G255" s="70"/>
      <c r="H255" s="16"/>
      <c r="I255" s="42"/>
      <c r="J255" s="43"/>
      <c r="K255" s="72">
        <f t="shared" si="37"/>
        <v>0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</row>
    <row r="256" spans="1:85" s="71" customFormat="1" ht="27" x14ac:dyDescent="0.25">
      <c r="A256" s="24" t="s">
        <v>16</v>
      </c>
      <c r="B256" s="193" t="s">
        <v>17</v>
      </c>
      <c r="C256" s="193"/>
      <c r="D256" s="194" t="s">
        <v>18</v>
      </c>
      <c r="E256" s="38" t="s">
        <v>19</v>
      </c>
      <c r="F256" s="108" t="s">
        <v>20</v>
      </c>
      <c r="G256" s="38" t="s">
        <v>21</v>
      </c>
      <c r="H256" s="24" t="s">
        <v>22</v>
      </c>
      <c r="I256" s="39" t="s">
        <v>23</v>
      </c>
      <c r="J256" s="101" t="s">
        <v>349</v>
      </c>
      <c r="K256" s="72" t="s">
        <v>2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</row>
    <row r="257" spans="1:85" s="215" customFormat="1" ht="16.5" customHeight="1" x14ac:dyDescent="0.25">
      <c r="A257" s="117" t="s">
        <v>603</v>
      </c>
      <c r="B257" s="186" t="s">
        <v>28</v>
      </c>
      <c r="C257" s="186" t="s">
        <v>604</v>
      </c>
      <c r="D257" s="187" t="s">
        <v>605</v>
      </c>
      <c r="E257" s="23" t="s">
        <v>606</v>
      </c>
      <c r="F257" s="209"/>
      <c r="G257" s="210"/>
      <c r="H257" s="211"/>
      <c r="I257" s="212">
        <v>169</v>
      </c>
      <c r="J257" s="81"/>
      <c r="K257" s="213">
        <f t="shared" si="37"/>
        <v>0</v>
      </c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  <c r="X257" s="214"/>
      <c r="Y257" s="214"/>
      <c r="Z257" s="214"/>
      <c r="AA257" s="214"/>
      <c r="AB257" s="214"/>
      <c r="AC257" s="214"/>
      <c r="AD257" s="214"/>
      <c r="AE257" s="214"/>
      <c r="AF257" s="214"/>
      <c r="AG257" s="214"/>
      <c r="AH257" s="214"/>
      <c r="AI257" s="214"/>
      <c r="AJ257" s="214"/>
      <c r="AK257" s="214"/>
      <c r="AL257" s="214"/>
      <c r="AM257" s="214"/>
      <c r="AN257" s="214"/>
      <c r="AO257" s="214"/>
      <c r="AP257" s="214"/>
      <c r="AQ257" s="214"/>
      <c r="AR257" s="214"/>
      <c r="AS257" s="214"/>
      <c r="AT257" s="214"/>
      <c r="AU257" s="214"/>
      <c r="AV257" s="214"/>
      <c r="AW257" s="214"/>
      <c r="AX257" s="214"/>
      <c r="AY257" s="214"/>
      <c r="AZ257" s="214"/>
      <c r="BA257" s="214"/>
      <c r="BB257" s="214"/>
      <c r="BC257" s="214"/>
      <c r="BD257" s="214"/>
      <c r="BE257" s="214"/>
      <c r="BF257" s="214"/>
      <c r="BG257" s="214"/>
      <c r="BH257" s="214"/>
      <c r="BI257" s="214"/>
      <c r="BJ257" s="214"/>
      <c r="BK257" s="214"/>
      <c r="BL257" s="214"/>
      <c r="BM257" s="214"/>
      <c r="BN257" s="214"/>
      <c r="BO257" s="214"/>
      <c r="BP257" s="214"/>
      <c r="BQ257" s="214"/>
      <c r="BR257" s="214"/>
      <c r="BS257" s="214"/>
      <c r="BT257" s="214"/>
      <c r="BU257" s="214"/>
      <c r="BV257" s="214"/>
      <c r="BW257" s="214"/>
      <c r="BX257" s="214"/>
      <c r="BY257" s="214"/>
      <c r="BZ257" s="214"/>
      <c r="CA257" s="214"/>
    </row>
    <row r="258" spans="1:85" s="9" customFormat="1" ht="18.95" customHeight="1" x14ac:dyDescent="0.25">
      <c r="A258" s="41"/>
      <c r="B258" s="191"/>
      <c r="C258" s="191"/>
      <c r="D258" s="192"/>
      <c r="E258" s="19" t="s">
        <v>607</v>
      </c>
      <c r="F258" s="142"/>
      <c r="G258" s="70"/>
      <c r="H258" s="16"/>
      <c r="I258" s="42"/>
      <c r="J258" s="43"/>
      <c r="K258" s="72">
        <f t="shared" si="37"/>
        <v>0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</row>
    <row r="259" spans="1:85" s="71" customFormat="1" ht="36" x14ac:dyDescent="0.25">
      <c r="A259" s="24" t="s">
        <v>16</v>
      </c>
      <c r="B259" s="193" t="s">
        <v>17</v>
      </c>
      <c r="C259" s="193"/>
      <c r="D259" s="194" t="s">
        <v>18</v>
      </c>
      <c r="E259" s="38" t="s">
        <v>19</v>
      </c>
      <c r="F259" s="38" t="s">
        <v>20</v>
      </c>
      <c r="G259" s="38" t="s">
        <v>21</v>
      </c>
      <c r="H259" s="24" t="s">
        <v>22</v>
      </c>
      <c r="I259" s="39" t="s">
        <v>23</v>
      </c>
      <c r="J259" s="101" t="s">
        <v>349</v>
      </c>
      <c r="K259" s="72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</row>
    <row r="260" spans="1:85" s="215" customFormat="1" ht="16.5" customHeight="1" x14ac:dyDescent="0.25">
      <c r="A260" s="117" t="s">
        <v>27</v>
      </c>
      <c r="B260" s="186" t="s">
        <v>28</v>
      </c>
      <c r="C260" s="186" t="s">
        <v>29</v>
      </c>
      <c r="D260" s="187" t="s">
        <v>608</v>
      </c>
      <c r="E260" s="23" t="s">
        <v>609</v>
      </c>
      <c r="F260" s="209"/>
      <c r="G260" s="210"/>
      <c r="H260" s="211"/>
      <c r="I260" s="212">
        <v>100</v>
      </c>
      <c r="J260" s="81"/>
      <c r="K260" s="213">
        <f t="shared" ref="K260" si="48">G260*I260</f>
        <v>0</v>
      </c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  <c r="Y260" s="214"/>
      <c r="Z260" s="214"/>
      <c r="AA260" s="214"/>
      <c r="AB260" s="214"/>
      <c r="AC260" s="214"/>
      <c r="AD260" s="214"/>
      <c r="AE260" s="214"/>
      <c r="AF260" s="214"/>
      <c r="AG260" s="214"/>
      <c r="AH260" s="214"/>
      <c r="AI260" s="214"/>
      <c r="AJ260" s="214"/>
      <c r="AK260" s="214"/>
      <c r="AL260" s="214"/>
      <c r="AM260" s="214"/>
      <c r="AN260" s="214"/>
      <c r="AO260" s="214"/>
      <c r="AP260" s="214"/>
      <c r="AQ260" s="214"/>
      <c r="AR260" s="214"/>
      <c r="AS260" s="214"/>
      <c r="AT260" s="214"/>
      <c r="AU260" s="214"/>
      <c r="AV260" s="214"/>
      <c r="AW260" s="214"/>
      <c r="AX260" s="214"/>
      <c r="AY260" s="214"/>
      <c r="AZ260" s="214"/>
      <c r="BA260" s="214"/>
      <c r="BB260" s="214"/>
      <c r="BC260" s="214"/>
      <c r="BD260" s="214"/>
      <c r="BE260" s="214"/>
      <c r="BF260" s="214"/>
      <c r="BG260" s="214"/>
      <c r="BH260" s="214"/>
      <c r="BI260" s="214"/>
      <c r="BJ260" s="214"/>
      <c r="BK260" s="214"/>
      <c r="BL260" s="214"/>
      <c r="BM260" s="214"/>
      <c r="BN260" s="214"/>
      <c r="BO260" s="214"/>
      <c r="BP260" s="214"/>
      <c r="BQ260" s="214"/>
      <c r="BR260" s="214"/>
      <c r="BS260" s="214"/>
      <c r="BT260" s="214"/>
      <c r="BU260" s="214"/>
      <c r="BV260" s="214"/>
      <c r="BW260" s="214"/>
      <c r="BX260" s="214"/>
      <c r="BY260" s="214"/>
      <c r="BZ260" s="214"/>
      <c r="CA260" s="214"/>
    </row>
    <row r="261" spans="1:85" s="215" customFormat="1" ht="16.5" customHeight="1" x14ac:dyDescent="0.25">
      <c r="A261" s="117" t="s">
        <v>610</v>
      </c>
      <c r="B261" s="186" t="s">
        <v>28</v>
      </c>
      <c r="C261" s="186" t="s">
        <v>379</v>
      </c>
      <c r="D261" s="187" t="s">
        <v>30</v>
      </c>
      <c r="E261" s="23" t="s">
        <v>611</v>
      </c>
      <c r="F261" s="209"/>
      <c r="G261" s="210"/>
      <c r="H261" s="211"/>
      <c r="I261" s="212">
        <v>199.6</v>
      </c>
      <c r="J261" s="81"/>
      <c r="K261" s="213">
        <f t="shared" si="37"/>
        <v>0</v>
      </c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  <c r="Y261" s="214"/>
      <c r="Z261" s="214"/>
      <c r="AA261" s="214"/>
      <c r="AB261" s="214"/>
      <c r="AC261" s="214"/>
      <c r="AD261" s="214"/>
      <c r="AE261" s="214"/>
      <c r="AF261" s="214"/>
      <c r="AG261" s="214"/>
      <c r="AH261" s="214"/>
      <c r="AI261" s="214"/>
      <c r="AJ261" s="214"/>
      <c r="AK261" s="214"/>
      <c r="AL261" s="214"/>
      <c r="AM261" s="214"/>
      <c r="AN261" s="214"/>
      <c r="AO261" s="214"/>
      <c r="AP261" s="214"/>
      <c r="AQ261" s="214"/>
      <c r="AR261" s="214"/>
      <c r="AS261" s="214"/>
      <c r="AT261" s="214"/>
      <c r="AU261" s="214"/>
      <c r="AV261" s="214"/>
      <c r="AW261" s="214"/>
      <c r="AX261" s="214"/>
      <c r="AY261" s="214"/>
      <c r="AZ261" s="214"/>
      <c r="BA261" s="214"/>
      <c r="BB261" s="214"/>
      <c r="BC261" s="214"/>
      <c r="BD261" s="214"/>
      <c r="BE261" s="214"/>
      <c r="BF261" s="214"/>
      <c r="BG261" s="214"/>
      <c r="BH261" s="214"/>
      <c r="BI261" s="214"/>
      <c r="BJ261" s="214"/>
      <c r="BK261" s="214"/>
      <c r="BL261" s="214"/>
      <c r="BM261" s="214"/>
      <c r="BN261" s="214"/>
      <c r="BO261" s="214"/>
      <c r="BP261" s="214"/>
      <c r="BQ261" s="214"/>
      <c r="BR261" s="214"/>
      <c r="BS261" s="214"/>
      <c r="BT261" s="214"/>
      <c r="BU261" s="214"/>
      <c r="BV261" s="214"/>
      <c r="BW261" s="214"/>
      <c r="BX261" s="214"/>
      <c r="BY261" s="214"/>
      <c r="BZ261" s="214"/>
      <c r="CA261" s="214"/>
    </row>
    <row r="262" spans="1:85" s="215" customFormat="1" ht="16.5" customHeight="1" x14ac:dyDescent="0.25">
      <c r="A262" s="117" t="s">
        <v>27</v>
      </c>
      <c r="B262" s="186" t="s">
        <v>28</v>
      </c>
      <c r="C262" s="186" t="s">
        <v>29</v>
      </c>
      <c r="D262" s="187" t="s">
        <v>30</v>
      </c>
      <c r="E262" s="23" t="s">
        <v>31</v>
      </c>
      <c r="F262" s="209"/>
      <c r="G262" s="210"/>
      <c r="H262" s="211"/>
      <c r="I262" s="212">
        <v>88</v>
      </c>
      <c r="J262" s="81"/>
      <c r="K262" s="213">
        <f>G262*I262</f>
        <v>0</v>
      </c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  <c r="Y262" s="214"/>
      <c r="Z262" s="214"/>
      <c r="AA262" s="214"/>
      <c r="AB262" s="214"/>
      <c r="AC262" s="214"/>
      <c r="AD262" s="214"/>
      <c r="AE262" s="214"/>
      <c r="AF262" s="214"/>
      <c r="AG262" s="214"/>
      <c r="AH262" s="214"/>
      <c r="AI262" s="214"/>
      <c r="AJ262" s="214"/>
      <c r="AK262" s="214"/>
      <c r="AL262" s="214"/>
      <c r="AM262" s="214"/>
      <c r="AN262" s="214"/>
      <c r="AO262" s="214"/>
      <c r="AP262" s="214"/>
      <c r="AQ262" s="214"/>
      <c r="AR262" s="214"/>
      <c r="AS262" s="214"/>
      <c r="AT262" s="214"/>
      <c r="AU262" s="214"/>
      <c r="AV262" s="214"/>
      <c r="AW262" s="214"/>
      <c r="AX262" s="214"/>
      <c r="AY262" s="214"/>
      <c r="AZ262" s="214"/>
      <c r="BA262" s="214"/>
      <c r="BB262" s="214"/>
      <c r="BC262" s="214"/>
      <c r="BD262" s="214"/>
      <c r="BE262" s="214"/>
      <c r="BF262" s="214"/>
      <c r="BG262" s="214"/>
      <c r="BH262" s="214"/>
      <c r="BI262" s="214"/>
      <c r="BJ262" s="214"/>
      <c r="BK262" s="214"/>
      <c r="BL262" s="214"/>
      <c r="BM262" s="214"/>
      <c r="BN262" s="214"/>
      <c r="BO262" s="214"/>
      <c r="BP262" s="214"/>
      <c r="BQ262" s="214"/>
      <c r="BR262" s="214"/>
      <c r="BS262" s="214"/>
      <c r="BT262" s="214"/>
      <c r="BU262" s="214"/>
      <c r="BV262" s="214"/>
      <c r="BW262" s="214"/>
      <c r="BX262" s="214"/>
      <c r="BY262" s="214"/>
      <c r="BZ262" s="214"/>
      <c r="CA262" s="214"/>
    </row>
    <row r="263" spans="1:85" s="215" customFormat="1" ht="16.5" customHeight="1" x14ac:dyDescent="0.25">
      <c r="A263" s="117" t="s">
        <v>612</v>
      </c>
      <c r="B263" s="186" t="s">
        <v>613</v>
      </c>
      <c r="C263" s="186" t="s">
        <v>614</v>
      </c>
      <c r="D263" s="187" t="s">
        <v>615</v>
      </c>
      <c r="E263" s="23">
        <v>10260</v>
      </c>
      <c r="F263" s="209"/>
      <c r="G263" s="210"/>
      <c r="H263" s="211"/>
      <c r="I263" s="212">
        <v>60</v>
      </c>
      <c r="J263" s="81"/>
      <c r="K263" s="213">
        <f t="shared" si="37"/>
        <v>0</v>
      </c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  <c r="Y263" s="214"/>
      <c r="Z263" s="214"/>
      <c r="AA263" s="214"/>
      <c r="AB263" s="214"/>
      <c r="AC263" s="214"/>
      <c r="AD263" s="214"/>
      <c r="AE263" s="214"/>
      <c r="AF263" s="214"/>
      <c r="AG263" s="214"/>
      <c r="AH263" s="214"/>
      <c r="AI263" s="214"/>
      <c r="AJ263" s="214"/>
      <c r="AK263" s="214"/>
      <c r="AL263" s="214"/>
      <c r="AM263" s="214"/>
      <c r="AN263" s="214"/>
      <c r="AO263" s="214"/>
      <c r="AP263" s="214"/>
      <c r="AQ263" s="214"/>
      <c r="AR263" s="214"/>
      <c r="AS263" s="214"/>
      <c r="AT263" s="214"/>
      <c r="AU263" s="214"/>
      <c r="AV263" s="214"/>
      <c r="AW263" s="214"/>
      <c r="AX263" s="214"/>
      <c r="AY263" s="214"/>
      <c r="AZ263" s="214"/>
      <c r="BA263" s="214"/>
      <c r="BB263" s="214"/>
      <c r="BC263" s="214"/>
      <c r="BD263" s="214"/>
      <c r="BE263" s="214"/>
      <c r="BF263" s="214"/>
      <c r="BG263" s="214"/>
      <c r="BH263" s="214"/>
      <c r="BI263" s="214"/>
      <c r="BJ263" s="214"/>
      <c r="BK263" s="214"/>
      <c r="BL263" s="214"/>
      <c r="BM263" s="214"/>
      <c r="BN263" s="214"/>
      <c r="BO263" s="214"/>
      <c r="BP263" s="214"/>
      <c r="BQ263" s="214"/>
      <c r="BR263" s="214"/>
      <c r="BS263" s="214"/>
      <c r="BT263" s="214"/>
      <c r="BU263" s="214"/>
      <c r="BV263" s="214"/>
      <c r="BW263" s="214"/>
      <c r="BX263" s="214"/>
      <c r="BY263" s="214"/>
      <c r="BZ263" s="214"/>
      <c r="CA263" s="214"/>
    </row>
    <row r="264" spans="1:85" s="215" customFormat="1" ht="16.5" customHeight="1" x14ac:dyDescent="0.25">
      <c r="A264" s="117" t="s">
        <v>616</v>
      </c>
      <c r="B264" s="186" t="s">
        <v>28</v>
      </c>
      <c r="C264" s="186" t="s">
        <v>617</v>
      </c>
      <c r="D264" s="187" t="s">
        <v>618</v>
      </c>
      <c r="E264" s="23" t="s">
        <v>619</v>
      </c>
      <c r="F264" s="209"/>
      <c r="G264" s="210"/>
      <c r="H264" s="211"/>
      <c r="I264" s="212">
        <v>166</v>
      </c>
      <c r="J264" s="81"/>
      <c r="K264" s="213">
        <f t="shared" si="37"/>
        <v>0</v>
      </c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  <c r="Y264" s="214"/>
      <c r="Z264" s="214"/>
      <c r="AA264" s="214"/>
      <c r="AB264" s="214"/>
      <c r="AC264" s="214"/>
      <c r="AD264" s="214"/>
      <c r="AE264" s="214"/>
      <c r="AF264" s="214"/>
      <c r="AG264" s="214"/>
      <c r="AH264" s="214"/>
      <c r="AI264" s="214"/>
      <c r="AJ264" s="214"/>
      <c r="AK264" s="214"/>
      <c r="AL264" s="214"/>
      <c r="AM264" s="214"/>
      <c r="AN264" s="214"/>
      <c r="AO264" s="214"/>
      <c r="AP264" s="214"/>
      <c r="AQ264" s="214"/>
      <c r="AR264" s="214"/>
      <c r="AS264" s="214"/>
      <c r="AT264" s="214"/>
      <c r="AU264" s="214"/>
      <c r="AV264" s="214"/>
      <c r="AW264" s="214"/>
      <c r="AX264" s="214"/>
      <c r="AY264" s="214"/>
      <c r="AZ264" s="214"/>
      <c r="BA264" s="214"/>
      <c r="BB264" s="214"/>
      <c r="BC264" s="214"/>
      <c r="BD264" s="214"/>
      <c r="BE264" s="214"/>
      <c r="BF264" s="214"/>
      <c r="BG264" s="214"/>
      <c r="BH264" s="214"/>
      <c r="BI264" s="214"/>
      <c r="BJ264" s="214"/>
      <c r="BK264" s="214"/>
      <c r="BL264" s="214"/>
      <c r="BM264" s="214"/>
      <c r="BN264" s="214"/>
      <c r="BO264" s="214"/>
      <c r="BP264" s="214"/>
      <c r="BQ264" s="214"/>
      <c r="BR264" s="214"/>
      <c r="BS264" s="214"/>
      <c r="BT264" s="214"/>
      <c r="BU264" s="214"/>
      <c r="BV264" s="214"/>
      <c r="BW264" s="214"/>
      <c r="BX264" s="214"/>
      <c r="BY264" s="214"/>
      <c r="BZ264" s="214"/>
      <c r="CA264" s="214"/>
    </row>
    <row r="265" spans="1:85" s="9" customFormat="1" ht="18.95" customHeight="1" x14ac:dyDescent="0.25">
      <c r="A265" s="41"/>
      <c r="B265" s="191"/>
      <c r="C265" s="191"/>
      <c r="D265" s="192"/>
      <c r="E265" s="19" t="s">
        <v>620</v>
      </c>
      <c r="F265" s="142"/>
      <c r="G265" s="70"/>
      <c r="H265" s="16"/>
      <c r="I265" s="42"/>
      <c r="J265" s="43"/>
      <c r="K265" s="72">
        <f t="shared" si="37"/>
        <v>0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</row>
    <row r="266" spans="1:85" s="71" customFormat="1" ht="27.95" customHeight="1" x14ac:dyDescent="0.25">
      <c r="A266" s="24" t="s">
        <v>16</v>
      </c>
      <c r="B266" s="193" t="s">
        <v>17</v>
      </c>
      <c r="C266" s="193"/>
      <c r="D266" s="194" t="s">
        <v>18</v>
      </c>
      <c r="E266" s="38" t="s">
        <v>19</v>
      </c>
      <c r="F266" s="38" t="s">
        <v>20</v>
      </c>
      <c r="G266" s="38" t="s">
        <v>21</v>
      </c>
      <c r="H266" s="24" t="s">
        <v>22</v>
      </c>
      <c r="I266" s="39" t="s">
        <v>23</v>
      </c>
      <c r="J266" s="101" t="s">
        <v>349</v>
      </c>
      <c r="K266" s="72" t="s">
        <v>2</v>
      </c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</row>
    <row r="267" spans="1:85" s="9" customFormat="1" ht="17.25" customHeight="1" x14ac:dyDescent="0.25">
      <c r="A267" s="100" t="s">
        <v>621</v>
      </c>
      <c r="B267" s="201"/>
      <c r="C267" s="202" t="s">
        <v>622</v>
      </c>
      <c r="D267" s="203" t="s">
        <v>622</v>
      </c>
      <c r="E267" s="128"/>
      <c r="F267" s="118"/>
      <c r="G267" s="68"/>
      <c r="H267" s="25"/>
      <c r="I267" s="109"/>
      <c r="J267" s="96"/>
      <c r="K267" s="72">
        <f t="shared" si="37"/>
        <v>0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</row>
    <row r="268" spans="1:85" s="215" customFormat="1" ht="16.5" customHeight="1" x14ac:dyDescent="0.25">
      <c r="A268" s="117" t="s">
        <v>623</v>
      </c>
      <c r="B268" s="186" t="s">
        <v>50</v>
      </c>
      <c r="C268" s="186" t="s">
        <v>624</v>
      </c>
      <c r="D268" s="187" t="s">
        <v>625</v>
      </c>
      <c r="E268" s="66" t="s">
        <v>626</v>
      </c>
      <c r="F268" s="209"/>
      <c r="G268" s="210"/>
      <c r="H268" s="211"/>
      <c r="I268" s="212">
        <v>4.2</v>
      </c>
      <c r="J268" s="81"/>
      <c r="K268" s="213">
        <f t="shared" si="37"/>
        <v>0</v>
      </c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  <c r="Y268" s="214"/>
      <c r="Z268" s="214"/>
      <c r="AA268" s="214"/>
      <c r="AB268" s="214"/>
      <c r="AC268" s="214"/>
      <c r="AD268" s="214"/>
      <c r="AE268" s="214"/>
      <c r="AF268" s="214"/>
      <c r="AG268" s="214"/>
      <c r="AH268" s="214"/>
      <c r="AI268" s="214"/>
      <c r="AJ268" s="214"/>
      <c r="AK268" s="214"/>
      <c r="AL268" s="214"/>
      <c r="AM268" s="214"/>
      <c r="AN268" s="214"/>
      <c r="AO268" s="214"/>
      <c r="AP268" s="214"/>
      <c r="AQ268" s="214"/>
      <c r="AR268" s="214"/>
      <c r="AS268" s="214"/>
      <c r="AT268" s="214"/>
      <c r="AU268" s="214"/>
      <c r="AV268" s="214"/>
      <c r="AW268" s="214"/>
      <c r="AX268" s="214"/>
      <c r="AY268" s="214"/>
      <c r="AZ268" s="214"/>
      <c r="BA268" s="214"/>
      <c r="BB268" s="214"/>
      <c r="BC268" s="214"/>
      <c r="BD268" s="214"/>
      <c r="BE268" s="214"/>
      <c r="BF268" s="214"/>
      <c r="BG268" s="214"/>
      <c r="BH268" s="214"/>
      <c r="BI268" s="214"/>
      <c r="BJ268" s="214"/>
      <c r="BK268" s="214"/>
      <c r="BL268" s="214"/>
      <c r="BM268" s="214"/>
      <c r="BN268" s="214"/>
      <c r="BO268" s="214"/>
      <c r="BP268" s="214"/>
      <c r="BQ268" s="214"/>
      <c r="BR268" s="214"/>
      <c r="BS268" s="214"/>
      <c r="BT268" s="214"/>
      <c r="BU268" s="214"/>
      <c r="BV268" s="214"/>
      <c r="BW268" s="214"/>
      <c r="BX268" s="214"/>
      <c r="BY268" s="214"/>
      <c r="BZ268" s="214"/>
      <c r="CA268" s="214"/>
    </row>
    <row r="269" spans="1:85" s="215" customFormat="1" ht="16.5" customHeight="1" x14ac:dyDescent="0.25">
      <c r="A269" s="117" t="s">
        <v>627</v>
      </c>
      <c r="B269" s="186" t="s">
        <v>613</v>
      </c>
      <c r="C269" s="186" t="s">
        <v>624</v>
      </c>
      <c r="D269" s="187" t="s">
        <v>625</v>
      </c>
      <c r="E269" s="66" t="s">
        <v>628</v>
      </c>
      <c r="F269" s="209"/>
      <c r="G269" s="210"/>
      <c r="H269" s="211"/>
      <c r="I269" s="212">
        <v>46.25</v>
      </c>
      <c r="J269" s="81"/>
      <c r="K269" s="213">
        <f t="shared" si="37"/>
        <v>0</v>
      </c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  <c r="Y269" s="214"/>
      <c r="Z269" s="214"/>
      <c r="AA269" s="214"/>
      <c r="AB269" s="214"/>
      <c r="AC269" s="214"/>
      <c r="AD269" s="214"/>
      <c r="AE269" s="214"/>
      <c r="AF269" s="214"/>
      <c r="AG269" s="214"/>
      <c r="AH269" s="214"/>
      <c r="AI269" s="214"/>
      <c r="AJ269" s="214"/>
      <c r="AK269" s="214"/>
      <c r="AL269" s="214"/>
      <c r="AM269" s="214"/>
      <c r="AN269" s="214"/>
      <c r="AO269" s="214"/>
      <c r="AP269" s="214"/>
      <c r="AQ269" s="214"/>
      <c r="AR269" s="214"/>
      <c r="AS269" s="214"/>
      <c r="AT269" s="214"/>
      <c r="AU269" s="214"/>
      <c r="AV269" s="214"/>
      <c r="AW269" s="214"/>
      <c r="AX269" s="214"/>
      <c r="AY269" s="214"/>
      <c r="AZ269" s="214"/>
      <c r="BA269" s="214"/>
      <c r="BB269" s="214"/>
      <c r="BC269" s="214"/>
      <c r="BD269" s="214"/>
      <c r="BE269" s="214"/>
      <c r="BF269" s="214"/>
      <c r="BG269" s="214"/>
      <c r="BH269" s="214"/>
      <c r="BI269" s="214"/>
      <c r="BJ269" s="214"/>
      <c r="BK269" s="214"/>
      <c r="BL269" s="214"/>
      <c r="BM269" s="214"/>
      <c r="BN269" s="214"/>
      <c r="BO269" s="214"/>
      <c r="BP269" s="214"/>
      <c r="BQ269" s="214"/>
      <c r="BR269" s="214"/>
      <c r="BS269" s="214"/>
      <c r="BT269" s="214"/>
      <c r="BU269" s="214"/>
      <c r="BV269" s="214"/>
      <c r="BW269" s="214"/>
      <c r="BX269" s="214"/>
      <c r="BY269" s="214"/>
      <c r="BZ269" s="214"/>
      <c r="CA269" s="214"/>
    </row>
    <row r="270" spans="1:85" s="215" customFormat="1" ht="16.5" customHeight="1" x14ac:dyDescent="0.25">
      <c r="A270" s="117" t="s">
        <v>629</v>
      </c>
      <c r="B270" s="186" t="s">
        <v>613</v>
      </c>
      <c r="C270" s="186" t="s">
        <v>624</v>
      </c>
      <c r="D270" s="187" t="s">
        <v>625</v>
      </c>
      <c r="E270" s="66" t="s">
        <v>630</v>
      </c>
      <c r="F270" s="209"/>
      <c r="G270" s="210"/>
      <c r="H270" s="211"/>
      <c r="I270" s="212">
        <v>46.25</v>
      </c>
      <c r="J270" s="81"/>
      <c r="K270" s="213">
        <f t="shared" si="37"/>
        <v>0</v>
      </c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  <c r="Y270" s="214"/>
      <c r="Z270" s="214"/>
      <c r="AA270" s="214"/>
      <c r="AB270" s="214"/>
      <c r="AC270" s="214"/>
      <c r="AD270" s="214"/>
      <c r="AE270" s="214"/>
      <c r="AF270" s="214"/>
      <c r="AG270" s="214"/>
      <c r="AH270" s="214"/>
      <c r="AI270" s="214"/>
      <c r="AJ270" s="214"/>
      <c r="AK270" s="214"/>
      <c r="AL270" s="214"/>
      <c r="AM270" s="214"/>
      <c r="AN270" s="214"/>
      <c r="AO270" s="214"/>
      <c r="AP270" s="214"/>
      <c r="AQ270" s="214"/>
      <c r="AR270" s="214"/>
      <c r="AS270" s="214"/>
      <c r="AT270" s="214"/>
      <c r="AU270" s="214"/>
      <c r="AV270" s="214"/>
      <c r="AW270" s="214"/>
      <c r="AX270" s="214"/>
      <c r="AY270" s="214"/>
      <c r="AZ270" s="214"/>
      <c r="BA270" s="214"/>
      <c r="BB270" s="214"/>
      <c r="BC270" s="214"/>
      <c r="BD270" s="214"/>
      <c r="BE270" s="214"/>
      <c r="BF270" s="214"/>
      <c r="BG270" s="214"/>
      <c r="BH270" s="214"/>
      <c r="BI270" s="214"/>
      <c r="BJ270" s="214"/>
      <c r="BK270" s="214"/>
      <c r="BL270" s="214"/>
      <c r="BM270" s="214"/>
      <c r="BN270" s="214"/>
      <c r="BO270" s="214"/>
      <c r="BP270" s="214"/>
      <c r="BQ270" s="214"/>
      <c r="BR270" s="214"/>
      <c r="BS270" s="214"/>
      <c r="BT270" s="214"/>
      <c r="BU270" s="214"/>
      <c r="BV270" s="214"/>
      <c r="BW270" s="214"/>
      <c r="BX270" s="214"/>
      <c r="BY270" s="214"/>
      <c r="BZ270" s="214"/>
      <c r="CA270" s="214"/>
    </row>
    <row r="271" spans="1:85" s="215" customFormat="1" ht="16.5" customHeight="1" x14ac:dyDescent="0.25">
      <c r="A271" s="117" t="s">
        <v>631</v>
      </c>
      <c r="B271" s="186" t="s">
        <v>613</v>
      </c>
      <c r="C271" s="186" t="s">
        <v>632</v>
      </c>
      <c r="D271" s="187" t="s">
        <v>625</v>
      </c>
      <c r="E271" s="66" t="s">
        <v>633</v>
      </c>
      <c r="F271" s="209"/>
      <c r="G271" s="210"/>
      <c r="H271" s="211"/>
      <c r="I271" s="212">
        <v>43.55</v>
      </c>
      <c r="J271" s="81"/>
      <c r="K271" s="213">
        <f t="shared" si="37"/>
        <v>0</v>
      </c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  <c r="Y271" s="214"/>
      <c r="Z271" s="214"/>
      <c r="AA271" s="214"/>
      <c r="AB271" s="214"/>
      <c r="AC271" s="214"/>
      <c r="AD271" s="214"/>
      <c r="AE271" s="214"/>
      <c r="AF271" s="214"/>
      <c r="AG271" s="214"/>
      <c r="AH271" s="214"/>
      <c r="AI271" s="214"/>
      <c r="AJ271" s="214"/>
      <c r="AK271" s="214"/>
      <c r="AL271" s="214"/>
      <c r="AM271" s="214"/>
      <c r="AN271" s="214"/>
      <c r="AO271" s="214"/>
      <c r="AP271" s="214"/>
      <c r="AQ271" s="214"/>
      <c r="AR271" s="214"/>
      <c r="AS271" s="214"/>
      <c r="AT271" s="214"/>
      <c r="AU271" s="214"/>
      <c r="AV271" s="214"/>
      <c r="AW271" s="214"/>
      <c r="AX271" s="214"/>
      <c r="AY271" s="214"/>
      <c r="AZ271" s="214"/>
      <c r="BA271" s="214"/>
      <c r="BB271" s="214"/>
      <c r="BC271" s="214"/>
      <c r="BD271" s="214"/>
      <c r="BE271" s="214"/>
      <c r="BF271" s="214"/>
      <c r="BG271" s="214"/>
      <c r="BH271" s="214"/>
      <c r="BI271" s="214"/>
      <c r="BJ271" s="214"/>
      <c r="BK271" s="214"/>
      <c r="BL271" s="214"/>
      <c r="BM271" s="214"/>
      <c r="BN271" s="214"/>
      <c r="BO271" s="214"/>
      <c r="BP271" s="214"/>
      <c r="BQ271" s="214"/>
      <c r="BR271" s="214"/>
      <c r="BS271" s="214"/>
      <c r="BT271" s="214"/>
      <c r="BU271" s="214"/>
      <c r="BV271" s="214"/>
      <c r="BW271" s="214"/>
      <c r="BX271" s="214"/>
      <c r="BY271" s="214"/>
      <c r="BZ271" s="214"/>
      <c r="CA271" s="214"/>
    </row>
    <row r="272" spans="1:85" s="215" customFormat="1" ht="16.5" customHeight="1" x14ac:dyDescent="0.25">
      <c r="A272" s="117" t="s">
        <v>634</v>
      </c>
      <c r="B272" s="186" t="s">
        <v>613</v>
      </c>
      <c r="C272" s="186" t="s">
        <v>635</v>
      </c>
      <c r="D272" s="187" t="s">
        <v>625</v>
      </c>
      <c r="E272" s="66" t="s">
        <v>636</v>
      </c>
      <c r="F272" s="209"/>
      <c r="G272" s="210"/>
      <c r="H272" s="211"/>
      <c r="I272" s="212">
        <v>50.4</v>
      </c>
      <c r="J272" s="81"/>
      <c r="K272" s="213">
        <f t="shared" si="37"/>
        <v>0</v>
      </c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  <c r="Y272" s="214"/>
      <c r="Z272" s="214"/>
      <c r="AA272" s="214"/>
      <c r="AB272" s="214"/>
      <c r="AC272" s="214"/>
      <c r="AD272" s="214"/>
      <c r="AE272" s="214"/>
      <c r="AF272" s="214"/>
      <c r="AG272" s="214"/>
      <c r="AH272" s="214"/>
      <c r="AI272" s="214"/>
      <c r="AJ272" s="214"/>
      <c r="AK272" s="214"/>
      <c r="AL272" s="214"/>
      <c r="AM272" s="214"/>
      <c r="AN272" s="214"/>
      <c r="AO272" s="214"/>
      <c r="AP272" s="214"/>
      <c r="AQ272" s="214"/>
      <c r="AR272" s="214"/>
      <c r="AS272" s="214"/>
      <c r="AT272" s="214"/>
      <c r="AU272" s="214"/>
      <c r="AV272" s="214"/>
      <c r="AW272" s="214"/>
      <c r="AX272" s="214"/>
      <c r="AY272" s="214"/>
      <c r="AZ272" s="214"/>
      <c r="BA272" s="214"/>
      <c r="BB272" s="214"/>
      <c r="BC272" s="214"/>
      <c r="BD272" s="214"/>
      <c r="BE272" s="214"/>
      <c r="BF272" s="214"/>
      <c r="BG272" s="214"/>
      <c r="BH272" s="214"/>
      <c r="BI272" s="214"/>
      <c r="BJ272" s="214"/>
      <c r="BK272" s="214"/>
      <c r="BL272" s="214"/>
      <c r="BM272" s="214"/>
      <c r="BN272" s="214"/>
      <c r="BO272" s="214"/>
      <c r="BP272" s="214"/>
      <c r="BQ272" s="214"/>
      <c r="BR272" s="214"/>
      <c r="BS272" s="214"/>
      <c r="BT272" s="214"/>
      <c r="BU272" s="214"/>
      <c r="BV272" s="214"/>
      <c r="BW272" s="214"/>
      <c r="BX272" s="214"/>
      <c r="BY272" s="214"/>
      <c r="BZ272" s="214"/>
      <c r="CA272" s="214"/>
    </row>
    <row r="273" spans="1:85" s="9" customFormat="1" ht="17.25" customHeight="1" x14ac:dyDescent="0.25">
      <c r="A273" s="100" t="s">
        <v>637</v>
      </c>
      <c r="B273" s="186"/>
      <c r="C273" s="186"/>
      <c r="D273" s="204"/>
      <c r="E273" s="66"/>
      <c r="F273" s="98"/>
      <c r="G273" s="68"/>
      <c r="H273" s="25"/>
      <c r="I273" s="99"/>
      <c r="J273" s="96"/>
      <c r="K273" s="72">
        <f t="shared" si="37"/>
        <v>0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</row>
    <row r="274" spans="1:85" s="215" customFormat="1" ht="16.5" customHeight="1" x14ac:dyDescent="0.25">
      <c r="A274" s="117" t="s">
        <v>638</v>
      </c>
      <c r="B274" s="186" t="s">
        <v>639</v>
      </c>
      <c r="C274" s="186" t="s">
        <v>33</v>
      </c>
      <c r="D274" s="187" t="s">
        <v>39</v>
      </c>
      <c r="E274" s="66" t="s">
        <v>640</v>
      </c>
      <c r="F274" s="209"/>
      <c r="G274" s="210"/>
      <c r="H274" s="211"/>
      <c r="I274" s="212">
        <v>210</v>
      </c>
      <c r="J274" s="81"/>
      <c r="K274" s="213">
        <f t="shared" si="37"/>
        <v>0</v>
      </c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  <c r="Y274" s="214"/>
      <c r="Z274" s="214"/>
      <c r="AA274" s="214"/>
      <c r="AB274" s="214"/>
      <c r="AC274" s="214"/>
      <c r="AD274" s="214"/>
      <c r="AE274" s="214"/>
      <c r="AF274" s="214"/>
      <c r="AG274" s="214"/>
      <c r="AH274" s="214"/>
      <c r="AI274" s="214"/>
      <c r="AJ274" s="214"/>
      <c r="AK274" s="214"/>
      <c r="AL274" s="214"/>
      <c r="AM274" s="214"/>
      <c r="AN274" s="214"/>
      <c r="AO274" s="214"/>
      <c r="AP274" s="214"/>
      <c r="AQ274" s="214"/>
      <c r="AR274" s="214"/>
      <c r="AS274" s="214"/>
      <c r="AT274" s="214"/>
      <c r="AU274" s="214"/>
      <c r="AV274" s="214"/>
      <c r="AW274" s="214"/>
      <c r="AX274" s="214"/>
      <c r="AY274" s="214"/>
      <c r="AZ274" s="214"/>
      <c r="BA274" s="214"/>
      <c r="BB274" s="214"/>
      <c r="BC274" s="214"/>
      <c r="BD274" s="214"/>
      <c r="BE274" s="214"/>
      <c r="BF274" s="214"/>
      <c r="BG274" s="214"/>
      <c r="BH274" s="214"/>
      <c r="BI274" s="214"/>
      <c r="BJ274" s="214"/>
      <c r="BK274" s="214"/>
      <c r="BL274" s="214"/>
      <c r="BM274" s="214"/>
      <c r="BN274" s="214"/>
      <c r="BO274" s="214"/>
      <c r="BP274" s="214"/>
      <c r="BQ274" s="214"/>
      <c r="BR274" s="214"/>
      <c r="BS274" s="214"/>
      <c r="BT274" s="214"/>
      <c r="BU274" s="214"/>
      <c r="BV274" s="214"/>
      <c r="BW274" s="214"/>
      <c r="BX274" s="214"/>
      <c r="BY274" s="214"/>
      <c r="BZ274" s="214"/>
      <c r="CA274" s="214"/>
    </row>
    <row r="275" spans="1:85" s="215" customFormat="1" ht="16.5" customHeight="1" x14ac:dyDescent="0.25">
      <c r="A275" s="117" t="s">
        <v>641</v>
      </c>
      <c r="B275" s="186" t="s">
        <v>613</v>
      </c>
      <c r="C275" s="186" t="s">
        <v>642</v>
      </c>
      <c r="D275" s="187" t="s">
        <v>39</v>
      </c>
      <c r="E275" s="66" t="s">
        <v>643</v>
      </c>
      <c r="F275" s="209"/>
      <c r="G275" s="210"/>
      <c r="H275" s="211"/>
      <c r="I275" s="212">
        <v>89.4</v>
      </c>
      <c r="J275" s="81"/>
      <c r="K275" s="213">
        <f t="shared" si="37"/>
        <v>0</v>
      </c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  <c r="Y275" s="214"/>
      <c r="Z275" s="214"/>
      <c r="AA275" s="214"/>
      <c r="AB275" s="214"/>
      <c r="AC275" s="214"/>
      <c r="AD275" s="214"/>
      <c r="AE275" s="214"/>
      <c r="AF275" s="214"/>
      <c r="AG275" s="214"/>
      <c r="AH275" s="214"/>
      <c r="AI275" s="214"/>
      <c r="AJ275" s="214"/>
      <c r="AK275" s="214"/>
      <c r="AL275" s="214"/>
      <c r="AM275" s="214"/>
      <c r="AN275" s="214"/>
      <c r="AO275" s="214"/>
      <c r="AP275" s="214"/>
      <c r="AQ275" s="214"/>
      <c r="AR275" s="214"/>
      <c r="AS275" s="214"/>
      <c r="AT275" s="214"/>
      <c r="AU275" s="214"/>
      <c r="AV275" s="214"/>
      <c r="AW275" s="214"/>
      <c r="AX275" s="214"/>
      <c r="AY275" s="214"/>
      <c r="AZ275" s="214"/>
      <c r="BA275" s="214"/>
      <c r="BB275" s="214"/>
      <c r="BC275" s="214"/>
      <c r="BD275" s="214"/>
      <c r="BE275" s="214"/>
      <c r="BF275" s="214"/>
      <c r="BG275" s="214"/>
      <c r="BH275" s="214"/>
      <c r="BI275" s="214"/>
      <c r="BJ275" s="214"/>
      <c r="BK275" s="214"/>
      <c r="BL275" s="214"/>
      <c r="BM275" s="214"/>
      <c r="BN275" s="214"/>
      <c r="BO275" s="214"/>
      <c r="BP275" s="214"/>
      <c r="BQ275" s="214"/>
      <c r="BR275" s="214"/>
      <c r="BS275" s="214"/>
      <c r="BT275" s="214"/>
      <c r="BU275" s="214"/>
      <c r="BV275" s="214"/>
      <c r="BW275" s="214"/>
      <c r="BX275" s="214"/>
      <c r="BY275" s="214"/>
      <c r="BZ275" s="214"/>
      <c r="CA275" s="214"/>
    </row>
    <row r="276" spans="1:85" s="215" customFormat="1" ht="16.5" customHeight="1" x14ac:dyDescent="0.25">
      <c r="A276" s="117" t="s">
        <v>644</v>
      </c>
      <c r="B276" s="186" t="s">
        <v>645</v>
      </c>
      <c r="C276" s="186" t="s">
        <v>646</v>
      </c>
      <c r="D276" s="187" t="s">
        <v>42</v>
      </c>
      <c r="E276" s="66">
        <v>1200609</v>
      </c>
      <c r="F276" s="209"/>
      <c r="G276" s="210"/>
      <c r="H276" s="211"/>
      <c r="I276" s="212">
        <v>120</v>
      </c>
      <c r="J276" s="81"/>
      <c r="K276" s="213">
        <f t="shared" si="37"/>
        <v>0</v>
      </c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  <c r="Y276" s="214"/>
      <c r="Z276" s="214"/>
      <c r="AA276" s="214"/>
      <c r="AB276" s="214"/>
      <c r="AC276" s="214"/>
      <c r="AD276" s="214"/>
      <c r="AE276" s="214"/>
      <c r="AF276" s="214"/>
      <c r="AG276" s="214"/>
      <c r="AH276" s="214"/>
      <c r="AI276" s="214"/>
      <c r="AJ276" s="214"/>
      <c r="AK276" s="214"/>
      <c r="AL276" s="214"/>
      <c r="AM276" s="214"/>
      <c r="AN276" s="214"/>
      <c r="AO276" s="214"/>
      <c r="AP276" s="214"/>
      <c r="AQ276" s="214"/>
      <c r="AR276" s="214"/>
      <c r="AS276" s="214"/>
      <c r="AT276" s="214"/>
      <c r="AU276" s="214"/>
      <c r="AV276" s="214"/>
      <c r="AW276" s="214"/>
      <c r="AX276" s="214"/>
      <c r="AY276" s="214"/>
      <c r="AZ276" s="214"/>
      <c r="BA276" s="214"/>
      <c r="BB276" s="214"/>
      <c r="BC276" s="214"/>
      <c r="BD276" s="214"/>
      <c r="BE276" s="214"/>
      <c r="BF276" s="214"/>
      <c r="BG276" s="214"/>
      <c r="BH276" s="214"/>
      <c r="BI276" s="214"/>
      <c r="BJ276" s="214"/>
      <c r="BK276" s="214"/>
      <c r="BL276" s="214"/>
      <c r="BM276" s="214"/>
      <c r="BN276" s="214"/>
      <c r="BO276" s="214"/>
      <c r="BP276" s="214"/>
      <c r="BQ276" s="214"/>
      <c r="BR276" s="214"/>
      <c r="BS276" s="214"/>
      <c r="BT276" s="214"/>
      <c r="BU276" s="214"/>
      <c r="BV276" s="214"/>
      <c r="BW276" s="214"/>
      <c r="BX276" s="214"/>
      <c r="BY276" s="214"/>
      <c r="BZ276" s="214"/>
      <c r="CA276" s="214"/>
    </row>
    <row r="277" spans="1:85" s="215" customFormat="1" ht="16.5" customHeight="1" x14ac:dyDescent="0.25">
      <c r="A277" s="117" t="s">
        <v>647</v>
      </c>
      <c r="B277" s="186" t="s">
        <v>639</v>
      </c>
      <c r="C277" s="186" t="s">
        <v>648</v>
      </c>
      <c r="D277" s="187" t="s">
        <v>649</v>
      </c>
      <c r="E277" s="66" t="s">
        <v>650</v>
      </c>
      <c r="F277" s="209"/>
      <c r="G277" s="210"/>
      <c r="H277" s="211"/>
      <c r="I277" s="212">
        <v>27.3</v>
      </c>
      <c r="J277" s="81"/>
      <c r="K277" s="213">
        <f t="shared" si="37"/>
        <v>0</v>
      </c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  <c r="Y277" s="214"/>
      <c r="Z277" s="214"/>
      <c r="AA277" s="214"/>
      <c r="AB277" s="214"/>
      <c r="AC277" s="214"/>
      <c r="AD277" s="214"/>
      <c r="AE277" s="214"/>
      <c r="AF277" s="214"/>
      <c r="AG277" s="214"/>
      <c r="AH277" s="214"/>
      <c r="AI277" s="214"/>
      <c r="AJ277" s="214"/>
      <c r="AK277" s="214"/>
      <c r="AL277" s="214"/>
      <c r="AM277" s="214"/>
      <c r="AN277" s="214"/>
      <c r="AO277" s="214"/>
      <c r="AP277" s="214"/>
      <c r="AQ277" s="214"/>
      <c r="AR277" s="214"/>
      <c r="AS277" s="214"/>
      <c r="AT277" s="214"/>
      <c r="AU277" s="214"/>
      <c r="AV277" s="214"/>
      <c r="AW277" s="214"/>
      <c r="AX277" s="214"/>
      <c r="AY277" s="214"/>
      <c r="AZ277" s="214"/>
      <c r="BA277" s="214"/>
      <c r="BB277" s="214"/>
      <c r="BC277" s="214"/>
      <c r="BD277" s="214"/>
      <c r="BE277" s="214"/>
      <c r="BF277" s="214"/>
      <c r="BG277" s="214"/>
      <c r="BH277" s="214"/>
      <c r="BI277" s="214"/>
      <c r="BJ277" s="214"/>
      <c r="BK277" s="214"/>
      <c r="BL277" s="214"/>
      <c r="BM277" s="214"/>
      <c r="BN277" s="214"/>
      <c r="BO277" s="214"/>
      <c r="BP277" s="214"/>
      <c r="BQ277" s="214"/>
      <c r="BR277" s="214"/>
      <c r="BS277" s="214"/>
      <c r="BT277" s="214"/>
      <c r="BU277" s="214"/>
      <c r="BV277" s="214"/>
      <c r="BW277" s="214"/>
      <c r="BX277" s="214"/>
      <c r="BY277" s="214"/>
      <c r="BZ277" s="214"/>
      <c r="CA277" s="214"/>
    </row>
    <row r="278" spans="1:85" s="215" customFormat="1" ht="16.5" customHeight="1" x14ac:dyDescent="0.25">
      <c r="A278" s="117" t="s">
        <v>651</v>
      </c>
      <c r="B278" s="186" t="s">
        <v>639</v>
      </c>
      <c r="C278" s="186" t="s">
        <v>648</v>
      </c>
      <c r="D278" s="187" t="s">
        <v>649</v>
      </c>
      <c r="E278" s="66" t="s">
        <v>652</v>
      </c>
      <c r="F278" s="209"/>
      <c r="G278" s="210"/>
      <c r="H278" s="211"/>
      <c r="I278" s="212">
        <v>54.2</v>
      </c>
      <c r="J278" s="81"/>
      <c r="K278" s="213">
        <f t="shared" si="37"/>
        <v>0</v>
      </c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  <c r="Y278" s="214"/>
      <c r="Z278" s="214"/>
      <c r="AA278" s="214"/>
      <c r="AB278" s="214"/>
      <c r="AC278" s="214"/>
      <c r="AD278" s="214"/>
      <c r="AE278" s="214"/>
      <c r="AF278" s="214"/>
      <c r="AG278" s="214"/>
      <c r="AH278" s="214"/>
      <c r="AI278" s="214"/>
      <c r="AJ278" s="214"/>
      <c r="AK278" s="214"/>
      <c r="AL278" s="214"/>
      <c r="AM278" s="214"/>
      <c r="AN278" s="214"/>
      <c r="AO278" s="214"/>
      <c r="AP278" s="214"/>
      <c r="AQ278" s="214"/>
      <c r="AR278" s="214"/>
      <c r="AS278" s="214"/>
      <c r="AT278" s="214"/>
      <c r="AU278" s="214"/>
      <c r="AV278" s="214"/>
      <c r="AW278" s="214"/>
      <c r="AX278" s="214"/>
      <c r="AY278" s="214"/>
      <c r="AZ278" s="214"/>
      <c r="BA278" s="214"/>
      <c r="BB278" s="214"/>
      <c r="BC278" s="214"/>
      <c r="BD278" s="214"/>
      <c r="BE278" s="214"/>
      <c r="BF278" s="214"/>
      <c r="BG278" s="214"/>
      <c r="BH278" s="214"/>
      <c r="BI278" s="214"/>
      <c r="BJ278" s="214"/>
      <c r="BK278" s="214"/>
      <c r="BL278" s="214"/>
      <c r="BM278" s="214"/>
      <c r="BN278" s="214"/>
      <c r="BO278" s="214"/>
      <c r="BP278" s="214"/>
      <c r="BQ278" s="214"/>
      <c r="BR278" s="214"/>
      <c r="BS278" s="214"/>
      <c r="BT278" s="214"/>
      <c r="BU278" s="214"/>
      <c r="BV278" s="214"/>
      <c r="BW278" s="214"/>
      <c r="BX278" s="214"/>
      <c r="BY278" s="214"/>
      <c r="BZ278" s="214"/>
      <c r="CA278" s="214"/>
    </row>
    <row r="279" spans="1:85" s="215" customFormat="1" ht="16.5" customHeight="1" x14ac:dyDescent="0.25">
      <c r="A279" s="117" t="s">
        <v>653</v>
      </c>
      <c r="B279" s="186" t="s">
        <v>654</v>
      </c>
      <c r="C279" s="186" t="s">
        <v>635</v>
      </c>
      <c r="D279" s="187" t="s">
        <v>649</v>
      </c>
      <c r="E279" s="66" t="s">
        <v>655</v>
      </c>
      <c r="F279" s="209"/>
      <c r="G279" s="210"/>
      <c r="H279" s="211"/>
      <c r="I279" s="212">
        <v>58</v>
      </c>
      <c r="J279" s="81"/>
      <c r="K279" s="213">
        <f t="shared" si="37"/>
        <v>0</v>
      </c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  <c r="Y279" s="214"/>
      <c r="Z279" s="214"/>
      <c r="AA279" s="214"/>
      <c r="AB279" s="214"/>
      <c r="AC279" s="214"/>
      <c r="AD279" s="214"/>
      <c r="AE279" s="214"/>
      <c r="AF279" s="214"/>
      <c r="AG279" s="214"/>
      <c r="AH279" s="214"/>
      <c r="AI279" s="214"/>
      <c r="AJ279" s="214"/>
      <c r="AK279" s="214"/>
      <c r="AL279" s="214"/>
      <c r="AM279" s="214"/>
      <c r="AN279" s="214"/>
      <c r="AO279" s="214"/>
      <c r="AP279" s="214"/>
      <c r="AQ279" s="214"/>
      <c r="AR279" s="214"/>
      <c r="AS279" s="214"/>
      <c r="AT279" s="214"/>
      <c r="AU279" s="214"/>
      <c r="AV279" s="214"/>
      <c r="AW279" s="214"/>
      <c r="AX279" s="214"/>
      <c r="AY279" s="214"/>
      <c r="AZ279" s="214"/>
      <c r="BA279" s="214"/>
      <c r="BB279" s="214"/>
      <c r="BC279" s="214"/>
      <c r="BD279" s="214"/>
      <c r="BE279" s="214"/>
      <c r="BF279" s="214"/>
      <c r="BG279" s="214"/>
      <c r="BH279" s="214"/>
      <c r="BI279" s="214"/>
      <c r="BJ279" s="214"/>
      <c r="BK279" s="214"/>
      <c r="BL279" s="214"/>
      <c r="BM279" s="214"/>
      <c r="BN279" s="214"/>
      <c r="BO279" s="214"/>
      <c r="BP279" s="214"/>
      <c r="BQ279" s="214"/>
      <c r="BR279" s="214"/>
      <c r="BS279" s="214"/>
      <c r="BT279" s="214"/>
      <c r="BU279" s="214"/>
      <c r="BV279" s="214"/>
      <c r="BW279" s="214"/>
      <c r="BX279" s="214"/>
      <c r="BY279" s="214"/>
      <c r="BZ279" s="214"/>
      <c r="CA279" s="214"/>
    </row>
    <row r="280" spans="1:85" s="4" customFormat="1" ht="17.25" customHeight="1" x14ac:dyDescent="0.25">
      <c r="A280" s="110" t="s">
        <v>656</v>
      </c>
      <c r="B280" s="188"/>
      <c r="C280" s="188"/>
      <c r="D280" s="147"/>
      <c r="E280" s="66"/>
      <c r="F280" s="119"/>
      <c r="G280" s="68"/>
      <c r="H280" s="25"/>
      <c r="I280" s="44"/>
      <c r="J280" s="96"/>
      <c r="K280" s="72">
        <f t="shared" si="37"/>
        <v>0</v>
      </c>
    </row>
    <row r="281" spans="1:85" s="4" customFormat="1" ht="17.25" customHeight="1" x14ac:dyDescent="0.15">
      <c r="A281" s="36" t="s">
        <v>657</v>
      </c>
      <c r="B281" s="201" t="s">
        <v>645</v>
      </c>
      <c r="C281" s="202" t="s">
        <v>658</v>
      </c>
      <c r="D281" s="203" t="s">
        <v>659</v>
      </c>
      <c r="E281" s="130">
        <v>5500200</v>
      </c>
      <c r="F281" s="131" t="s">
        <v>660</v>
      </c>
      <c r="G281" s="68"/>
      <c r="H281" s="25"/>
      <c r="I281" s="99">
        <v>37.5</v>
      </c>
      <c r="J281" s="96" t="s">
        <v>661</v>
      </c>
      <c r="K281" s="72">
        <f t="shared" si="37"/>
        <v>0</v>
      </c>
    </row>
    <row r="282" spans="1:85" s="4" customFormat="1" ht="17.25" customHeight="1" x14ac:dyDescent="0.15">
      <c r="A282" s="36" t="s">
        <v>662</v>
      </c>
      <c r="B282" s="201" t="s">
        <v>645</v>
      </c>
      <c r="C282" s="202" t="s">
        <v>658</v>
      </c>
      <c r="D282" s="203" t="s">
        <v>659</v>
      </c>
      <c r="E282" s="130">
        <v>5500210</v>
      </c>
      <c r="F282" s="131" t="s">
        <v>660</v>
      </c>
      <c r="G282" s="68"/>
      <c r="H282" s="25"/>
      <c r="I282" s="99">
        <v>37.5</v>
      </c>
      <c r="J282" s="96" t="s">
        <v>661</v>
      </c>
      <c r="K282" s="72">
        <f t="shared" si="37"/>
        <v>0</v>
      </c>
    </row>
    <row r="283" spans="1:85" s="4" customFormat="1" ht="17.25" customHeight="1" x14ac:dyDescent="0.15">
      <c r="A283" s="36" t="s">
        <v>663</v>
      </c>
      <c r="B283" s="201" t="s">
        <v>645</v>
      </c>
      <c r="C283" s="202" t="s">
        <v>658</v>
      </c>
      <c r="D283" s="203" t="s">
        <v>659</v>
      </c>
      <c r="E283" s="130">
        <v>5500220</v>
      </c>
      <c r="F283" s="131" t="s">
        <v>660</v>
      </c>
      <c r="G283" s="68"/>
      <c r="H283" s="25"/>
      <c r="I283" s="99">
        <v>37.5</v>
      </c>
      <c r="J283" s="96" t="s">
        <v>661</v>
      </c>
      <c r="K283" s="72">
        <f t="shared" si="37"/>
        <v>0</v>
      </c>
    </row>
    <row r="284" spans="1:85" s="4" customFormat="1" ht="24" customHeight="1" x14ac:dyDescent="0.15">
      <c r="A284" s="36" t="s">
        <v>664</v>
      </c>
      <c r="B284" s="201" t="s">
        <v>645</v>
      </c>
      <c r="C284" s="202" t="s">
        <v>658</v>
      </c>
      <c r="D284" s="203" t="s">
        <v>659</v>
      </c>
      <c r="E284" s="130">
        <v>5500221</v>
      </c>
      <c r="F284" s="131" t="s">
        <v>660</v>
      </c>
      <c r="G284" s="68"/>
      <c r="H284" s="25"/>
      <c r="I284" s="99">
        <v>37.5</v>
      </c>
      <c r="J284" s="96" t="s">
        <v>661</v>
      </c>
      <c r="K284" s="72">
        <f t="shared" si="37"/>
        <v>0</v>
      </c>
    </row>
    <row r="285" spans="1:85" s="4" customFormat="1" ht="17.25" customHeight="1" x14ac:dyDescent="0.15">
      <c r="A285" s="36" t="s">
        <v>665</v>
      </c>
      <c r="B285" s="201" t="s">
        <v>645</v>
      </c>
      <c r="C285" s="202" t="s">
        <v>666</v>
      </c>
      <c r="D285" s="203" t="s">
        <v>659</v>
      </c>
      <c r="E285" s="130" t="s">
        <v>667</v>
      </c>
      <c r="F285" s="131" t="s">
        <v>660</v>
      </c>
      <c r="G285" s="68"/>
      <c r="H285" s="25"/>
      <c r="I285" s="99">
        <v>55.5</v>
      </c>
      <c r="J285" s="96" t="s">
        <v>661</v>
      </c>
      <c r="K285" s="72">
        <f t="shared" ref="K285:K349" si="49">G285*I285</f>
        <v>0</v>
      </c>
    </row>
    <row r="286" spans="1:85" s="20" customFormat="1" ht="17.25" customHeight="1" x14ac:dyDescent="0.2">
      <c r="A286" s="111" t="s">
        <v>668</v>
      </c>
      <c r="B286" s="201" t="s">
        <v>639</v>
      </c>
      <c r="C286" s="202" t="s">
        <v>669</v>
      </c>
      <c r="D286" s="203" t="s">
        <v>670</v>
      </c>
      <c r="E286" s="128" t="s">
        <v>671</v>
      </c>
      <c r="F286" s="129"/>
      <c r="G286" s="68"/>
      <c r="H286" s="25"/>
      <c r="I286" s="99">
        <v>49.5</v>
      </c>
      <c r="J286" s="96"/>
      <c r="K286" s="72">
        <f t="shared" si="49"/>
        <v>0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</row>
    <row r="287" spans="1:85" s="4" customFormat="1" ht="17.25" customHeight="1" x14ac:dyDescent="0.25">
      <c r="A287" s="36" t="s">
        <v>672</v>
      </c>
      <c r="B287" s="188" t="s">
        <v>654</v>
      </c>
      <c r="C287" s="188" t="s">
        <v>669</v>
      </c>
      <c r="D287" s="147" t="s">
        <v>39</v>
      </c>
      <c r="E287" s="66" t="s">
        <v>673</v>
      </c>
      <c r="F287" s="80"/>
      <c r="G287" s="68"/>
      <c r="H287" s="25"/>
      <c r="I287" s="44">
        <v>49</v>
      </c>
      <c r="J287" s="96"/>
      <c r="K287" s="72">
        <f t="shared" si="49"/>
        <v>0</v>
      </c>
    </row>
    <row r="288" spans="1:85" s="4" customFormat="1" ht="17.25" customHeight="1" x14ac:dyDescent="0.25">
      <c r="A288" s="111" t="s">
        <v>674</v>
      </c>
      <c r="B288" s="201" t="s">
        <v>613</v>
      </c>
      <c r="C288" s="202" t="s">
        <v>675</v>
      </c>
      <c r="D288" s="203" t="s">
        <v>676</v>
      </c>
      <c r="E288" s="128" t="s">
        <v>677</v>
      </c>
      <c r="F288" s="118"/>
      <c r="G288" s="68"/>
      <c r="H288" s="25"/>
      <c r="I288" s="44">
        <v>32.299999999999997</v>
      </c>
      <c r="J288" s="96"/>
      <c r="K288" s="72">
        <f t="shared" si="49"/>
        <v>0</v>
      </c>
    </row>
    <row r="289" spans="1:85" s="4" customFormat="1" ht="17.25" customHeight="1" x14ac:dyDescent="0.25">
      <c r="A289" s="36" t="s">
        <v>678</v>
      </c>
      <c r="B289" s="188" t="s">
        <v>613</v>
      </c>
      <c r="C289" s="188" t="s">
        <v>675</v>
      </c>
      <c r="D289" s="147" t="s">
        <v>676</v>
      </c>
      <c r="E289" s="66" t="s">
        <v>679</v>
      </c>
      <c r="F289" s="80"/>
      <c r="G289" s="68"/>
      <c r="H289" s="25"/>
      <c r="I289" s="44">
        <v>32.299999999999997</v>
      </c>
      <c r="J289" s="96"/>
      <c r="K289" s="72">
        <f t="shared" si="49"/>
        <v>0</v>
      </c>
    </row>
    <row r="290" spans="1:85" s="4" customFormat="1" ht="17.25" customHeight="1" x14ac:dyDescent="0.25">
      <c r="A290" s="36" t="s">
        <v>680</v>
      </c>
      <c r="B290" s="188" t="s">
        <v>28</v>
      </c>
      <c r="C290" s="188" t="s">
        <v>681</v>
      </c>
      <c r="D290" s="147" t="s">
        <v>682</v>
      </c>
      <c r="E290" s="66" t="s">
        <v>683</v>
      </c>
      <c r="F290" s="80"/>
      <c r="G290" s="68"/>
      <c r="H290" s="25"/>
      <c r="I290" s="44">
        <v>175</v>
      </c>
      <c r="J290" s="96"/>
      <c r="K290" s="72">
        <f t="shared" si="49"/>
        <v>0</v>
      </c>
    </row>
    <row r="291" spans="1:85" s="4" customFormat="1" ht="17.25" customHeight="1" x14ac:dyDescent="0.25">
      <c r="A291" s="110" t="s">
        <v>684</v>
      </c>
      <c r="B291" s="188"/>
      <c r="C291" s="188" t="s">
        <v>622</v>
      </c>
      <c r="D291" s="147" t="s">
        <v>622</v>
      </c>
      <c r="E291" s="66"/>
      <c r="F291" s="80"/>
      <c r="G291" s="68"/>
      <c r="H291" s="25"/>
      <c r="I291" s="44"/>
      <c r="J291" s="96"/>
      <c r="K291" s="72">
        <f t="shared" si="49"/>
        <v>0</v>
      </c>
    </row>
    <row r="292" spans="1:85" s="4" customFormat="1" ht="17.25" customHeight="1" x14ac:dyDescent="0.25">
      <c r="A292" s="104" t="s">
        <v>685</v>
      </c>
      <c r="B292" s="201" t="s">
        <v>654</v>
      </c>
      <c r="C292" s="202" t="s">
        <v>635</v>
      </c>
      <c r="D292" s="203" t="s">
        <v>39</v>
      </c>
      <c r="E292" s="66" t="s">
        <v>686</v>
      </c>
      <c r="F292" s="118"/>
      <c r="G292" s="68"/>
      <c r="H292" s="25"/>
      <c r="I292" s="99">
        <v>127</v>
      </c>
      <c r="J292" s="96"/>
      <c r="K292" s="72">
        <f t="shared" si="49"/>
        <v>0</v>
      </c>
    </row>
    <row r="293" spans="1:85" s="4" customFormat="1" ht="17.25" customHeight="1" x14ac:dyDescent="0.25">
      <c r="A293" s="104" t="s">
        <v>687</v>
      </c>
      <c r="B293" s="201" t="s">
        <v>28</v>
      </c>
      <c r="C293" s="202" t="s">
        <v>688</v>
      </c>
      <c r="D293" s="203" t="s">
        <v>682</v>
      </c>
      <c r="E293" s="66" t="s">
        <v>689</v>
      </c>
      <c r="F293" s="118"/>
      <c r="G293" s="68"/>
      <c r="H293" s="25"/>
      <c r="I293" s="99">
        <v>42</v>
      </c>
      <c r="J293" s="96"/>
      <c r="K293" s="72">
        <f t="shared" si="49"/>
        <v>0</v>
      </c>
    </row>
    <row r="294" spans="1:85" s="4" customFormat="1" ht="17.25" customHeight="1" x14ac:dyDescent="0.25">
      <c r="A294" s="104" t="s">
        <v>690</v>
      </c>
      <c r="B294" s="188" t="s">
        <v>639</v>
      </c>
      <c r="C294" s="188" t="s">
        <v>635</v>
      </c>
      <c r="D294" s="203" t="s">
        <v>682</v>
      </c>
      <c r="E294" s="66" t="s">
        <v>691</v>
      </c>
      <c r="F294" s="118"/>
      <c r="G294" s="68"/>
      <c r="H294" s="25"/>
      <c r="I294" s="99">
        <v>42</v>
      </c>
      <c r="J294" s="96"/>
      <c r="K294" s="72">
        <f t="shared" si="49"/>
        <v>0</v>
      </c>
    </row>
    <row r="295" spans="1:85" s="4" customFormat="1" ht="17.25" customHeight="1" x14ac:dyDescent="0.25">
      <c r="A295" s="112" t="s">
        <v>692</v>
      </c>
      <c r="B295" s="188"/>
      <c r="C295" s="188" t="s">
        <v>622</v>
      </c>
      <c r="D295" s="147" t="s">
        <v>622</v>
      </c>
      <c r="E295" s="66"/>
      <c r="F295" s="80"/>
      <c r="G295" s="68"/>
      <c r="H295" s="25"/>
      <c r="I295" s="44"/>
      <c r="J295" s="96"/>
      <c r="K295" s="72">
        <f t="shared" si="49"/>
        <v>0</v>
      </c>
    </row>
    <row r="296" spans="1:85" s="4" customFormat="1" ht="17.25" customHeight="1" x14ac:dyDescent="0.25">
      <c r="A296" s="36" t="s">
        <v>693</v>
      </c>
      <c r="B296" s="188" t="s">
        <v>654</v>
      </c>
      <c r="C296" s="188" t="s">
        <v>41</v>
      </c>
      <c r="D296" s="147" t="s">
        <v>39</v>
      </c>
      <c r="E296" s="66" t="s">
        <v>694</v>
      </c>
      <c r="F296" s="80"/>
      <c r="G296" s="68"/>
      <c r="H296" s="25"/>
      <c r="I296" s="44">
        <v>60.6</v>
      </c>
      <c r="J296" s="81"/>
      <c r="K296" s="72">
        <f t="shared" si="49"/>
        <v>0</v>
      </c>
    </row>
    <row r="297" spans="1:85" s="4" customFormat="1" ht="17.25" customHeight="1" x14ac:dyDescent="0.25">
      <c r="A297" s="36" t="s">
        <v>695</v>
      </c>
      <c r="B297" s="188" t="s">
        <v>654</v>
      </c>
      <c r="C297" s="188" t="s">
        <v>41</v>
      </c>
      <c r="D297" s="147" t="s">
        <v>39</v>
      </c>
      <c r="E297" s="66" t="s">
        <v>696</v>
      </c>
      <c r="F297" s="80"/>
      <c r="G297" s="68"/>
      <c r="H297" s="25"/>
      <c r="I297" s="44">
        <v>67.849999999999994</v>
      </c>
      <c r="J297" s="83"/>
      <c r="K297" s="72">
        <f t="shared" si="49"/>
        <v>0</v>
      </c>
    </row>
    <row r="298" spans="1:85" s="4" customFormat="1" ht="17.25" customHeight="1" x14ac:dyDescent="0.25">
      <c r="A298" s="36" t="s">
        <v>697</v>
      </c>
      <c r="B298" s="188" t="s">
        <v>613</v>
      </c>
      <c r="C298" s="188" t="s">
        <v>41</v>
      </c>
      <c r="D298" s="147" t="s">
        <v>39</v>
      </c>
      <c r="E298" s="66" t="s">
        <v>698</v>
      </c>
      <c r="F298" s="80"/>
      <c r="G298" s="68"/>
      <c r="H298" s="25"/>
      <c r="I298" s="44">
        <v>81.400000000000006</v>
      </c>
      <c r="J298" s="96"/>
      <c r="K298" s="72">
        <f t="shared" si="49"/>
        <v>0</v>
      </c>
    </row>
    <row r="299" spans="1:85" s="4" customFormat="1" ht="17.25" customHeight="1" x14ac:dyDescent="0.25">
      <c r="A299" s="36" t="s">
        <v>699</v>
      </c>
      <c r="B299" s="188" t="s">
        <v>700</v>
      </c>
      <c r="C299" s="188" t="s">
        <v>624</v>
      </c>
      <c r="D299" s="147" t="s">
        <v>39</v>
      </c>
      <c r="E299" s="66" t="s">
        <v>701</v>
      </c>
      <c r="F299" s="80"/>
      <c r="G299" s="68"/>
      <c r="H299" s="25"/>
      <c r="I299" s="44">
        <v>72</v>
      </c>
      <c r="J299" s="96"/>
      <c r="K299" s="72">
        <f t="shared" si="49"/>
        <v>0</v>
      </c>
    </row>
    <row r="300" spans="1:85" s="4" customFormat="1" ht="17.25" customHeight="1" x14ac:dyDescent="0.25">
      <c r="A300" s="110" t="s">
        <v>702</v>
      </c>
      <c r="B300" s="188"/>
      <c r="C300" s="188"/>
      <c r="D300" s="147" t="s">
        <v>622</v>
      </c>
      <c r="E300" s="66"/>
      <c r="F300" s="80"/>
      <c r="G300" s="68"/>
      <c r="H300" s="25"/>
      <c r="I300" s="44"/>
      <c r="J300" s="96"/>
      <c r="K300" s="72">
        <f t="shared" si="49"/>
        <v>0</v>
      </c>
    </row>
    <row r="301" spans="1:85" s="4" customFormat="1" ht="17.25" customHeight="1" x14ac:dyDescent="0.25">
      <c r="A301" s="36" t="s">
        <v>703</v>
      </c>
      <c r="B301" s="188" t="s">
        <v>639</v>
      </c>
      <c r="C301" s="188" t="s">
        <v>632</v>
      </c>
      <c r="D301" s="147" t="s">
        <v>39</v>
      </c>
      <c r="E301" s="66" t="s">
        <v>704</v>
      </c>
      <c r="F301" s="80"/>
      <c r="G301" s="68"/>
      <c r="H301" s="25"/>
      <c r="I301" s="44">
        <v>28.3</v>
      </c>
      <c r="J301" s="96"/>
      <c r="K301" s="72">
        <f t="shared" si="49"/>
        <v>0</v>
      </c>
    </row>
    <row r="302" spans="1:85" s="4" customFormat="1" ht="17.25" customHeight="1" x14ac:dyDescent="0.25">
      <c r="A302" s="36" t="s">
        <v>705</v>
      </c>
      <c r="B302" s="188" t="s">
        <v>639</v>
      </c>
      <c r="C302" s="188" t="s">
        <v>706</v>
      </c>
      <c r="D302" s="147" t="s">
        <v>39</v>
      </c>
      <c r="E302" s="66" t="s">
        <v>707</v>
      </c>
      <c r="F302" s="80"/>
      <c r="G302" s="68"/>
      <c r="H302" s="25"/>
      <c r="I302" s="44">
        <v>28.3</v>
      </c>
      <c r="J302" s="96"/>
      <c r="K302" s="72">
        <f t="shared" si="49"/>
        <v>0</v>
      </c>
    </row>
    <row r="303" spans="1:85" s="20" customFormat="1" ht="19.5" customHeight="1" x14ac:dyDescent="0.25">
      <c r="A303" s="36" t="s">
        <v>708</v>
      </c>
      <c r="B303" s="188" t="s">
        <v>639</v>
      </c>
      <c r="C303" s="188" t="s">
        <v>632</v>
      </c>
      <c r="D303" s="147" t="s">
        <v>39</v>
      </c>
      <c r="E303" s="66" t="s">
        <v>709</v>
      </c>
      <c r="F303" s="80"/>
      <c r="G303" s="68"/>
      <c r="H303" s="25"/>
      <c r="I303" s="44">
        <v>28.3</v>
      </c>
      <c r="J303" s="96"/>
      <c r="K303" s="72">
        <f t="shared" si="49"/>
        <v>0</v>
      </c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</row>
    <row r="304" spans="1:85" s="4" customFormat="1" ht="19.5" customHeight="1" x14ac:dyDescent="0.25">
      <c r="A304" s="111" t="s">
        <v>710</v>
      </c>
      <c r="B304" s="201" t="s">
        <v>639</v>
      </c>
      <c r="C304" s="202" t="s">
        <v>711</v>
      </c>
      <c r="D304" s="203" t="s">
        <v>39</v>
      </c>
      <c r="E304" s="66" t="s">
        <v>712</v>
      </c>
      <c r="F304" s="83"/>
      <c r="G304" s="68"/>
      <c r="H304" s="25"/>
      <c r="I304" s="99">
        <v>48.6</v>
      </c>
      <c r="J304" s="96"/>
      <c r="K304" s="72">
        <f t="shared" si="49"/>
        <v>0</v>
      </c>
    </row>
    <row r="305" spans="1:11" s="4" customFormat="1" ht="17.25" customHeight="1" x14ac:dyDescent="0.25">
      <c r="A305" s="36" t="s">
        <v>713</v>
      </c>
      <c r="B305" s="188" t="s">
        <v>639</v>
      </c>
      <c r="C305" s="188" t="s">
        <v>714</v>
      </c>
      <c r="D305" s="147" t="s">
        <v>39</v>
      </c>
      <c r="E305" s="66" t="s">
        <v>715</v>
      </c>
      <c r="F305" s="80"/>
      <c r="G305" s="68"/>
      <c r="H305" s="25"/>
      <c r="I305" s="44">
        <v>28.5</v>
      </c>
      <c r="J305" s="96"/>
      <c r="K305" s="72">
        <f t="shared" si="49"/>
        <v>0</v>
      </c>
    </row>
    <row r="306" spans="1:11" s="4" customFormat="1" ht="17.25" customHeight="1" x14ac:dyDescent="0.25">
      <c r="A306" s="36" t="s">
        <v>716</v>
      </c>
      <c r="B306" s="188" t="s">
        <v>639</v>
      </c>
      <c r="C306" s="188" t="s">
        <v>632</v>
      </c>
      <c r="D306" s="147" t="s">
        <v>39</v>
      </c>
      <c r="E306" s="66" t="s">
        <v>717</v>
      </c>
      <c r="F306" s="80"/>
      <c r="G306" s="68"/>
      <c r="H306" s="25"/>
      <c r="I306" s="44">
        <v>28.5</v>
      </c>
      <c r="J306" s="96"/>
      <c r="K306" s="72">
        <f t="shared" si="49"/>
        <v>0</v>
      </c>
    </row>
    <row r="307" spans="1:11" s="4" customFormat="1" ht="21" customHeight="1" x14ac:dyDescent="0.25">
      <c r="A307" s="36" t="s">
        <v>718</v>
      </c>
      <c r="B307" s="188" t="s">
        <v>639</v>
      </c>
      <c r="C307" s="188" t="s">
        <v>632</v>
      </c>
      <c r="D307" s="147" t="s">
        <v>39</v>
      </c>
      <c r="E307" s="66" t="s">
        <v>719</v>
      </c>
      <c r="F307" s="80"/>
      <c r="G307" s="68"/>
      <c r="H307" s="25"/>
      <c r="I307" s="44">
        <v>28.5</v>
      </c>
      <c r="J307" s="96"/>
      <c r="K307" s="72">
        <f t="shared" si="49"/>
        <v>0</v>
      </c>
    </row>
    <row r="308" spans="1:11" s="4" customFormat="1" ht="17.25" customHeight="1" x14ac:dyDescent="0.25">
      <c r="A308" s="111" t="s">
        <v>720</v>
      </c>
      <c r="B308" s="201" t="s">
        <v>639</v>
      </c>
      <c r="C308" s="202" t="s">
        <v>721</v>
      </c>
      <c r="D308" s="203" t="s">
        <v>722</v>
      </c>
      <c r="E308" s="66" t="s">
        <v>723</v>
      </c>
      <c r="F308" s="118"/>
      <c r="G308" s="68"/>
      <c r="H308" s="25"/>
      <c r="I308" s="99">
        <v>27.5</v>
      </c>
      <c r="J308" s="96"/>
      <c r="K308" s="72">
        <f t="shared" si="49"/>
        <v>0</v>
      </c>
    </row>
    <row r="309" spans="1:11" s="4" customFormat="1" ht="17.25" customHeight="1" x14ac:dyDescent="0.25">
      <c r="A309" s="36" t="s">
        <v>724</v>
      </c>
      <c r="B309" s="188" t="s">
        <v>639</v>
      </c>
      <c r="C309" s="188" t="s">
        <v>721</v>
      </c>
      <c r="D309" s="147" t="s">
        <v>722</v>
      </c>
      <c r="E309" s="66" t="s">
        <v>725</v>
      </c>
      <c r="F309" s="80"/>
      <c r="G309" s="68"/>
      <c r="H309" s="25"/>
      <c r="I309" s="44">
        <v>25.5</v>
      </c>
      <c r="J309" s="96"/>
      <c r="K309" s="72">
        <f t="shared" si="49"/>
        <v>0</v>
      </c>
    </row>
    <row r="310" spans="1:11" s="4" customFormat="1" ht="18" x14ac:dyDescent="0.25">
      <c r="A310" s="111" t="s">
        <v>726</v>
      </c>
      <c r="B310" s="201" t="s">
        <v>727</v>
      </c>
      <c r="C310" s="202" t="s">
        <v>728</v>
      </c>
      <c r="D310" s="203" t="s">
        <v>729</v>
      </c>
      <c r="E310" s="66" t="s">
        <v>730</v>
      </c>
      <c r="F310" s="118"/>
      <c r="G310" s="68"/>
      <c r="H310" s="25"/>
      <c r="I310" s="99">
        <v>75.599999999999994</v>
      </c>
      <c r="J310" s="96" t="s">
        <v>731</v>
      </c>
      <c r="K310" s="72">
        <f t="shared" si="49"/>
        <v>0</v>
      </c>
    </row>
    <row r="311" spans="1:11" s="4" customFormat="1" ht="17.25" customHeight="1" x14ac:dyDescent="0.25">
      <c r="A311" s="111" t="s">
        <v>732</v>
      </c>
      <c r="B311" s="201" t="s">
        <v>639</v>
      </c>
      <c r="C311" s="202" t="s">
        <v>733</v>
      </c>
      <c r="D311" s="203" t="s">
        <v>729</v>
      </c>
      <c r="E311" s="66" t="s">
        <v>734</v>
      </c>
      <c r="F311" s="118"/>
      <c r="G311" s="68"/>
      <c r="H311" s="25"/>
      <c r="I311" s="99">
        <v>74.52</v>
      </c>
      <c r="J311" s="81"/>
      <c r="K311" s="72">
        <f t="shared" si="49"/>
        <v>0</v>
      </c>
    </row>
    <row r="312" spans="1:11" s="4" customFormat="1" ht="17.25" customHeight="1" x14ac:dyDescent="0.25">
      <c r="A312" s="111" t="s">
        <v>735</v>
      </c>
      <c r="B312" s="201" t="s">
        <v>639</v>
      </c>
      <c r="C312" s="202" t="s">
        <v>733</v>
      </c>
      <c r="D312" s="203" t="s">
        <v>729</v>
      </c>
      <c r="E312" s="66" t="s">
        <v>736</v>
      </c>
      <c r="F312" s="118"/>
      <c r="G312" s="68"/>
      <c r="H312" s="25"/>
      <c r="I312" s="99">
        <v>74.52</v>
      </c>
      <c r="J312" s="81"/>
      <c r="K312" s="72">
        <f t="shared" si="49"/>
        <v>0</v>
      </c>
    </row>
    <row r="313" spans="1:11" s="4" customFormat="1" ht="17.25" customHeight="1" x14ac:dyDescent="0.25">
      <c r="A313" s="111" t="s">
        <v>737</v>
      </c>
      <c r="B313" s="201" t="s">
        <v>639</v>
      </c>
      <c r="C313" s="202" t="s">
        <v>733</v>
      </c>
      <c r="D313" s="203" t="s">
        <v>729</v>
      </c>
      <c r="E313" s="66" t="s">
        <v>738</v>
      </c>
      <c r="F313" s="118"/>
      <c r="G313" s="68"/>
      <c r="H313" s="25"/>
      <c r="I313" s="99">
        <v>74.52</v>
      </c>
      <c r="J313" s="81"/>
      <c r="K313" s="72">
        <f t="shared" si="49"/>
        <v>0</v>
      </c>
    </row>
    <row r="314" spans="1:11" s="4" customFormat="1" ht="17.25" customHeight="1" x14ac:dyDescent="0.25">
      <c r="A314" s="111" t="s">
        <v>739</v>
      </c>
      <c r="B314" s="201" t="s">
        <v>639</v>
      </c>
      <c r="C314" s="202" t="s">
        <v>733</v>
      </c>
      <c r="D314" s="203" t="s">
        <v>729</v>
      </c>
      <c r="E314" s="66" t="s">
        <v>740</v>
      </c>
      <c r="F314" s="118"/>
      <c r="G314" s="68"/>
      <c r="H314" s="25"/>
      <c r="I314" s="99">
        <v>74.52</v>
      </c>
      <c r="J314" s="81"/>
      <c r="K314" s="72">
        <f t="shared" si="49"/>
        <v>0</v>
      </c>
    </row>
    <row r="315" spans="1:11" s="4" customFormat="1" ht="17.25" customHeight="1" x14ac:dyDescent="0.25">
      <c r="A315" s="111" t="s">
        <v>741</v>
      </c>
      <c r="B315" s="201" t="s">
        <v>639</v>
      </c>
      <c r="C315" s="202" t="s">
        <v>733</v>
      </c>
      <c r="D315" s="203" t="s">
        <v>729</v>
      </c>
      <c r="E315" s="66" t="s">
        <v>742</v>
      </c>
      <c r="F315" s="118"/>
      <c r="G315" s="68"/>
      <c r="H315" s="25"/>
      <c r="I315" s="99">
        <v>74.52</v>
      </c>
      <c r="J315" s="81"/>
      <c r="K315" s="72">
        <f t="shared" si="49"/>
        <v>0</v>
      </c>
    </row>
    <row r="316" spans="1:11" s="4" customFormat="1" ht="17.25" customHeight="1" x14ac:dyDescent="0.25">
      <c r="A316" s="111" t="s">
        <v>743</v>
      </c>
      <c r="B316" s="201" t="s">
        <v>639</v>
      </c>
      <c r="C316" s="202" t="s">
        <v>733</v>
      </c>
      <c r="D316" s="203" t="s">
        <v>729</v>
      </c>
      <c r="E316" s="66" t="s">
        <v>744</v>
      </c>
      <c r="F316" s="118"/>
      <c r="G316" s="68"/>
      <c r="H316" s="25"/>
      <c r="I316" s="99">
        <v>74.52</v>
      </c>
      <c r="J316" s="81"/>
      <c r="K316" s="72">
        <f t="shared" si="49"/>
        <v>0</v>
      </c>
    </row>
    <row r="317" spans="1:11" s="4" customFormat="1" ht="17.25" customHeight="1" x14ac:dyDescent="0.25">
      <c r="A317" s="110" t="s">
        <v>745</v>
      </c>
      <c r="B317" s="188"/>
      <c r="C317" s="188" t="s">
        <v>622</v>
      </c>
      <c r="D317" s="147" t="s">
        <v>622</v>
      </c>
      <c r="E317" s="66"/>
      <c r="F317" s="80"/>
      <c r="G317" s="68"/>
      <c r="H317" s="25"/>
      <c r="I317" s="44"/>
      <c r="J317" s="96"/>
      <c r="K317" s="72">
        <f t="shared" si="49"/>
        <v>0</v>
      </c>
    </row>
    <row r="318" spans="1:11" s="4" customFormat="1" ht="17.25" customHeight="1" x14ac:dyDescent="0.25">
      <c r="A318" s="36" t="s">
        <v>746</v>
      </c>
      <c r="B318" s="188" t="s">
        <v>613</v>
      </c>
      <c r="C318" s="188" t="s">
        <v>747</v>
      </c>
      <c r="D318" s="147" t="s">
        <v>39</v>
      </c>
      <c r="E318" s="66" t="s">
        <v>748</v>
      </c>
      <c r="F318" s="80"/>
      <c r="G318" s="68"/>
      <c r="H318" s="25"/>
      <c r="I318" s="44">
        <v>24</v>
      </c>
      <c r="J318" s="96"/>
      <c r="K318" s="72">
        <f t="shared" si="49"/>
        <v>0</v>
      </c>
    </row>
    <row r="319" spans="1:11" s="4" customFormat="1" ht="17.25" customHeight="1" x14ac:dyDescent="0.25">
      <c r="A319" s="36" t="s">
        <v>749</v>
      </c>
      <c r="B319" s="188" t="s">
        <v>613</v>
      </c>
      <c r="C319" s="188" t="s">
        <v>747</v>
      </c>
      <c r="D319" s="147" t="s">
        <v>39</v>
      </c>
      <c r="E319" s="66" t="s">
        <v>750</v>
      </c>
      <c r="F319" s="80"/>
      <c r="G319" s="68"/>
      <c r="H319" s="25"/>
      <c r="I319" s="44">
        <v>24</v>
      </c>
      <c r="J319" s="96"/>
      <c r="K319" s="72">
        <f t="shared" si="49"/>
        <v>0</v>
      </c>
    </row>
    <row r="320" spans="1:11" s="4" customFormat="1" ht="17.25" customHeight="1" x14ac:dyDescent="0.25">
      <c r="A320" s="36" t="s">
        <v>751</v>
      </c>
      <c r="B320" s="188" t="s">
        <v>613</v>
      </c>
      <c r="C320" s="188" t="s">
        <v>747</v>
      </c>
      <c r="D320" s="147" t="s">
        <v>39</v>
      </c>
      <c r="E320" s="66" t="s">
        <v>752</v>
      </c>
      <c r="F320" s="80"/>
      <c r="G320" s="68"/>
      <c r="H320" s="25"/>
      <c r="I320" s="44">
        <v>24</v>
      </c>
      <c r="J320" s="81"/>
      <c r="K320" s="72">
        <f t="shared" si="49"/>
        <v>0</v>
      </c>
    </row>
    <row r="321" spans="1:11" s="21" customFormat="1" ht="22.5" customHeight="1" x14ac:dyDescent="0.25">
      <c r="A321" s="36" t="s">
        <v>753</v>
      </c>
      <c r="B321" s="188" t="s">
        <v>613</v>
      </c>
      <c r="C321" s="188" t="s">
        <v>747</v>
      </c>
      <c r="D321" s="147" t="s">
        <v>39</v>
      </c>
      <c r="E321" s="66" t="s">
        <v>754</v>
      </c>
      <c r="F321" s="80"/>
      <c r="G321" s="68"/>
      <c r="H321" s="25"/>
      <c r="I321" s="44">
        <v>24</v>
      </c>
      <c r="J321" s="83"/>
      <c r="K321" s="72">
        <f t="shared" si="49"/>
        <v>0</v>
      </c>
    </row>
    <row r="322" spans="1:11" s="21" customFormat="1" ht="17.25" customHeight="1" x14ac:dyDescent="0.25">
      <c r="A322" s="36" t="s">
        <v>755</v>
      </c>
      <c r="B322" s="188" t="s">
        <v>613</v>
      </c>
      <c r="C322" s="188" t="s">
        <v>747</v>
      </c>
      <c r="D322" s="147" t="s">
        <v>39</v>
      </c>
      <c r="E322" s="66" t="s">
        <v>756</v>
      </c>
      <c r="F322" s="80"/>
      <c r="G322" s="68"/>
      <c r="H322" s="25"/>
      <c r="I322" s="44">
        <v>24</v>
      </c>
      <c r="J322" s="96"/>
      <c r="K322" s="72">
        <f t="shared" si="49"/>
        <v>0</v>
      </c>
    </row>
    <row r="323" spans="1:11" s="4" customFormat="1" ht="17.25" customHeight="1" x14ac:dyDescent="0.25">
      <c r="A323" s="36" t="s">
        <v>757</v>
      </c>
      <c r="B323" s="188" t="s">
        <v>613</v>
      </c>
      <c r="C323" s="188" t="s">
        <v>747</v>
      </c>
      <c r="D323" s="147" t="s">
        <v>39</v>
      </c>
      <c r="E323" s="66" t="s">
        <v>758</v>
      </c>
      <c r="F323" s="80"/>
      <c r="G323" s="68"/>
      <c r="H323" s="25"/>
      <c r="I323" s="44">
        <v>24</v>
      </c>
      <c r="J323" s="96"/>
      <c r="K323" s="72">
        <f t="shared" si="49"/>
        <v>0</v>
      </c>
    </row>
    <row r="324" spans="1:11" s="4" customFormat="1" ht="17.25" customHeight="1" x14ac:dyDescent="0.25">
      <c r="A324" s="36" t="s">
        <v>759</v>
      </c>
      <c r="B324" s="188" t="s">
        <v>613</v>
      </c>
      <c r="C324" s="188" t="s">
        <v>747</v>
      </c>
      <c r="D324" s="147" t="s">
        <v>39</v>
      </c>
      <c r="E324" s="66" t="s">
        <v>760</v>
      </c>
      <c r="F324" s="80"/>
      <c r="G324" s="68"/>
      <c r="H324" s="25"/>
      <c r="I324" s="44">
        <v>24</v>
      </c>
      <c r="J324" s="96"/>
      <c r="K324" s="72">
        <f t="shared" si="49"/>
        <v>0</v>
      </c>
    </row>
    <row r="325" spans="1:11" s="4" customFormat="1" ht="17.25" customHeight="1" x14ac:dyDescent="0.25">
      <c r="A325" s="36" t="s">
        <v>761</v>
      </c>
      <c r="B325" s="188" t="s">
        <v>613</v>
      </c>
      <c r="C325" s="188" t="s">
        <v>747</v>
      </c>
      <c r="D325" s="147" t="s">
        <v>39</v>
      </c>
      <c r="E325" s="66" t="s">
        <v>762</v>
      </c>
      <c r="F325" s="80"/>
      <c r="G325" s="68"/>
      <c r="H325" s="25"/>
      <c r="I325" s="44">
        <v>24</v>
      </c>
      <c r="J325" s="96"/>
      <c r="K325" s="72">
        <f t="shared" si="49"/>
        <v>0</v>
      </c>
    </row>
    <row r="326" spans="1:11" s="4" customFormat="1" ht="17.25" customHeight="1" x14ac:dyDescent="0.25">
      <c r="A326" s="111" t="s">
        <v>763</v>
      </c>
      <c r="B326" s="201" t="s">
        <v>613</v>
      </c>
      <c r="C326" s="202" t="s">
        <v>747</v>
      </c>
      <c r="D326" s="203" t="s">
        <v>39</v>
      </c>
      <c r="E326" s="66" t="s">
        <v>764</v>
      </c>
      <c r="F326" s="118"/>
      <c r="G326" s="68"/>
      <c r="H326" s="25"/>
      <c r="I326" s="44">
        <v>27</v>
      </c>
      <c r="J326" s="96"/>
      <c r="K326" s="72">
        <f t="shared" si="49"/>
        <v>0</v>
      </c>
    </row>
    <row r="327" spans="1:11" s="4" customFormat="1" ht="17.25" customHeight="1" x14ac:dyDescent="0.25">
      <c r="A327" s="36" t="s">
        <v>765</v>
      </c>
      <c r="B327" s="188" t="s">
        <v>613</v>
      </c>
      <c r="C327" s="188" t="s">
        <v>747</v>
      </c>
      <c r="D327" s="147" t="s">
        <v>39</v>
      </c>
      <c r="E327" s="66" t="s">
        <v>766</v>
      </c>
      <c r="F327" s="80"/>
      <c r="G327" s="68"/>
      <c r="H327" s="25"/>
      <c r="I327" s="44">
        <v>24</v>
      </c>
      <c r="J327" s="96"/>
      <c r="K327" s="72">
        <f t="shared" si="49"/>
        <v>0</v>
      </c>
    </row>
    <row r="328" spans="1:11" s="4" customFormat="1" ht="17.25" customHeight="1" x14ac:dyDescent="0.25">
      <c r="A328" s="110" t="s">
        <v>767</v>
      </c>
      <c r="B328" s="188"/>
      <c r="C328" s="188" t="s">
        <v>622</v>
      </c>
      <c r="D328" s="147" t="s">
        <v>622</v>
      </c>
      <c r="E328" s="66"/>
      <c r="F328" s="80"/>
      <c r="G328" s="68"/>
      <c r="H328" s="25"/>
      <c r="I328" s="44"/>
      <c r="J328" s="96"/>
      <c r="K328" s="72">
        <f t="shared" si="49"/>
        <v>0</v>
      </c>
    </row>
    <row r="329" spans="1:11" s="4" customFormat="1" ht="17.25" customHeight="1" x14ac:dyDescent="0.25">
      <c r="A329" s="111" t="s">
        <v>768</v>
      </c>
      <c r="B329" s="201" t="s">
        <v>613</v>
      </c>
      <c r="C329" s="202" t="s">
        <v>711</v>
      </c>
      <c r="D329" s="203" t="s">
        <v>39</v>
      </c>
      <c r="E329" s="66" t="s">
        <v>769</v>
      </c>
      <c r="F329" s="118"/>
      <c r="G329" s="68"/>
      <c r="H329" s="25"/>
      <c r="I329" s="44">
        <v>49.9</v>
      </c>
      <c r="J329" s="25"/>
      <c r="K329" s="72">
        <f t="shared" si="49"/>
        <v>0</v>
      </c>
    </row>
    <row r="330" spans="1:11" s="4" customFormat="1" ht="19.5" customHeight="1" x14ac:dyDescent="0.25">
      <c r="A330" s="36" t="s">
        <v>770</v>
      </c>
      <c r="B330" s="188" t="s">
        <v>613</v>
      </c>
      <c r="C330" s="188" t="s">
        <v>711</v>
      </c>
      <c r="D330" s="147" t="s">
        <v>39</v>
      </c>
      <c r="E330" s="66" t="s">
        <v>771</v>
      </c>
      <c r="F330" s="83"/>
      <c r="G330" s="68"/>
      <c r="H330" s="25"/>
      <c r="I330" s="44">
        <v>49.9</v>
      </c>
      <c r="J330" s="96"/>
      <c r="K330" s="72">
        <f t="shared" si="49"/>
        <v>0</v>
      </c>
    </row>
    <row r="331" spans="1:11" s="4" customFormat="1" ht="17.25" customHeight="1" x14ac:dyDescent="0.25">
      <c r="A331" s="36" t="s">
        <v>772</v>
      </c>
      <c r="B331" s="188" t="s">
        <v>613</v>
      </c>
      <c r="C331" s="188" t="s">
        <v>711</v>
      </c>
      <c r="D331" s="147" t="s">
        <v>39</v>
      </c>
      <c r="E331" s="66" t="s">
        <v>773</v>
      </c>
      <c r="F331" s="80"/>
      <c r="G331" s="68"/>
      <c r="H331" s="25"/>
      <c r="I331" s="44">
        <v>49.9</v>
      </c>
      <c r="J331" s="83"/>
      <c r="K331" s="72">
        <f t="shared" si="49"/>
        <v>0</v>
      </c>
    </row>
    <row r="332" spans="1:11" s="4" customFormat="1" ht="17.25" customHeight="1" x14ac:dyDescent="0.25">
      <c r="A332" s="36" t="s">
        <v>774</v>
      </c>
      <c r="B332" s="188" t="s">
        <v>639</v>
      </c>
      <c r="C332" s="188" t="s">
        <v>648</v>
      </c>
      <c r="D332" s="147" t="s">
        <v>39</v>
      </c>
      <c r="E332" s="66" t="s">
        <v>775</v>
      </c>
      <c r="F332" s="80"/>
      <c r="G332" s="68"/>
      <c r="H332" s="25"/>
      <c r="I332" s="44">
        <v>34.200000000000003</v>
      </c>
      <c r="J332" s="96"/>
      <c r="K332" s="72">
        <f t="shared" si="49"/>
        <v>0</v>
      </c>
    </row>
    <row r="333" spans="1:11" s="4" customFormat="1" ht="17.25" customHeight="1" x14ac:dyDescent="0.25">
      <c r="A333" s="36" t="s">
        <v>776</v>
      </c>
      <c r="B333" s="188" t="s">
        <v>639</v>
      </c>
      <c r="C333" s="188" t="s">
        <v>777</v>
      </c>
      <c r="D333" s="147" t="s">
        <v>722</v>
      </c>
      <c r="E333" s="66" t="s">
        <v>778</v>
      </c>
      <c r="F333" s="80"/>
      <c r="G333" s="68"/>
      <c r="H333" s="25"/>
      <c r="I333" s="44">
        <v>24.7</v>
      </c>
      <c r="J333" s="96"/>
      <c r="K333" s="72">
        <f t="shared" si="49"/>
        <v>0</v>
      </c>
    </row>
    <row r="334" spans="1:11" s="4" customFormat="1" ht="17.25" customHeight="1" x14ac:dyDescent="0.25">
      <c r="A334" s="36" t="s">
        <v>779</v>
      </c>
      <c r="B334" s="188" t="s">
        <v>639</v>
      </c>
      <c r="C334" s="188" t="s">
        <v>777</v>
      </c>
      <c r="D334" s="147" t="s">
        <v>722</v>
      </c>
      <c r="E334" s="66" t="s">
        <v>780</v>
      </c>
      <c r="F334" s="80"/>
      <c r="G334" s="68"/>
      <c r="H334" s="25"/>
      <c r="I334" s="44">
        <v>24.7</v>
      </c>
      <c r="J334" s="96"/>
      <c r="K334" s="72">
        <f t="shared" si="49"/>
        <v>0</v>
      </c>
    </row>
    <row r="335" spans="1:11" s="4" customFormat="1" ht="20.25" customHeight="1" x14ac:dyDescent="0.25">
      <c r="A335" s="36" t="s">
        <v>781</v>
      </c>
      <c r="B335" s="188" t="s">
        <v>639</v>
      </c>
      <c r="C335" s="188" t="s">
        <v>747</v>
      </c>
      <c r="D335" s="147" t="s">
        <v>649</v>
      </c>
      <c r="E335" s="66" t="s">
        <v>782</v>
      </c>
      <c r="F335" s="80"/>
      <c r="G335" s="68"/>
      <c r="H335" s="25"/>
      <c r="I335" s="99">
        <v>22.5</v>
      </c>
      <c r="J335" s="96" t="s">
        <v>25</v>
      </c>
      <c r="K335" s="72">
        <f t="shared" si="49"/>
        <v>0</v>
      </c>
    </row>
    <row r="336" spans="1:11" s="4" customFormat="1" ht="17.25" customHeight="1" x14ac:dyDescent="0.25">
      <c r="A336" s="104" t="s">
        <v>783</v>
      </c>
      <c r="B336" s="201" t="s">
        <v>639</v>
      </c>
      <c r="C336" s="202" t="s">
        <v>747</v>
      </c>
      <c r="D336" s="203" t="s">
        <v>649</v>
      </c>
      <c r="E336" s="66" t="s">
        <v>784</v>
      </c>
      <c r="F336" s="118"/>
      <c r="G336" s="68"/>
      <c r="H336" s="25"/>
      <c r="I336" s="99">
        <v>22.5</v>
      </c>
      <c r="J336" s="96" t="s">
        <v>25</v>
      </c>
      <c r="K336" s="72">
        <f t="shared" si="49"/>
        <v>0</v>
      </c>
    </row>
    <row r="337" spans="1:85" s="4" customFormat="1" ht="17.25" customHeight="1" x14ac:dyDescent="0.25">
      <c r="A337" s="36" t="s">
        <v>785</v>
      </c>
      <c r="B337" s="188" t="s">
        <v>639</v>
      </c>
      <c r="C337" s="188" t="s">
        <v>747</v>
      </c>
      <c r="D337" s="147" t="s">
        <v>649</v>
      </c>
      <c r="E337" s="66" t="s">
        <v>786</v>
      </c>
      <c r="F337" s="119"/>
      <c r="G337" s="68"/>
      <c r="H337" s="25"/>
      <c r="I337" s="99">
        <v>22.5</v>
      </c>
      <c r="J337" s="96" t="s">
        <v>25</v>
      </c>
      <c r="K337" s="72">
        <f t="shared" si="49"/>
        <v>0</v>
      </c>
    </row>
    <row r="338" spans="1:85" s="4" customFormat="1" ht="17.25" customHeight="1" x14ac:dyDescent="0.25">
      <c r="A338" s="36" t="s">
        <v>787</v>
      </c>
      <c r="B338" s="188" t="s">
        <v>639</v>
      </c>
      <c r="C338" s="188" t="s">
        <v>747</v>
      </c>
      <c r="D338" s="147" t="s">
        <v>649</v>
      </c>
      <c r="E338" s="66" t="s">
        <v>788</v>
      </c>
      <c r="F338" s="119"/>
      <c r="G338" s="68"/>
      <c r="H338" s="25"/>
      <c r="I338" s="99">
        <v>22.5</v>
      </c>
      <c r="J338" s="96" t="s">
        <v>25</v>
      </c>
      <c r="K338" s="72">
        <f t="shared" si="49"/>
        <v>0</v>
      </c>
    </row>
    <row r="339" spans="1:85" s="4" customFormat="1" ht="17.25" customHeight="1" x14ac:dyDescent="0.25">
      <c r="A339" s="36" t="s">
        <v>789</v>
      </c>
      <c r="B339" s="188" t="s">
        <v>727</v>
      </c>
      <c r="C339" s="188" t="s">
        <v>790</v>
      </c>
      <c r="D339" s="147" t="s">
        <v>676</v>
      </c>
      <c r="E339" s="66" t="s">
        <v>791</v>
      </c>
      <c r="F339" s="80"/>
      <c r="G339" s="68"/>
      <c r="H339" s="25"/>
      <c r="I339" s="44">
        <v>42.4</v>
      </c>
      <c r="J339" s="81"/>
      <c r="K339" s="72">
        <f t="shared" si="49"/>
        <v>0</v>
      </c>
    </row>
    <row r="340" spans="1:85" s="4" customFormat="1" ht="17.25" customHeight="1" x14ac:dyDescent="0.25">
      <c r="A340" s="36" t="s">
        <v>792</v>
      </c>
      <c r="B340" s="188" t="s">
        <v>613</v>
      </c>
      <c r="C340" s="188" t="s">
        <v>793</v>
      </c>
      <c r="D340" s="147" t="s">
        <v>676</v>
      </c>
      <c r="E340" s="66" t="s">
        <v>794</v>
      </c>
      <c r="F340" s="80"/>
      <c r="G340" s="68"/>
      <c r="H340" s="25"/>
      <c r="I340" s="44">
        <v>46.2</v>
      </c>
      <c r="J340" s="81"/>
      <c r="K340" s="72">
        <f t="shared" si="49"/>
        <v>0</v>
      </c>
    </row>
    <row r="341" spans="1:85" s="4" customFormat="1" ht="17.25" customHeight="1" x14ac:dyDescent="0.25">
      <c r="A341" s="111" t="s">
        <v>795</v>
      </c>
      <c r="B341" s="201" t="s">
        <v>613</v>
      </c>
      <c r="C341" s="202" t="s">
        <v>793</v>
      </c>
      <c r="D341" s="203" t="s">
        <v>676</v>
      </c>
      <c r="E341" s="66" t="s">
        <v>796</v>
      </c>
      <c r="F341" s="118"/>
      <c r="G341" s="68"/>
      <c r="H341" s="25"/>
      <c r="I341" s="99">
        <v>46.2</v>
      </c>
      <c r="J341" s="81"/>
      <c r="K341" s="72">
        <f t="shared" si="49"/>
        <v>0</v>
      </c>
    </row>
    <row r="342" spans="1:85" s="4" customFormat="1" ht="17.25" customHeight="1" x14ac:dyDescent="0.25">
      <c r="A342" s="112" t="s">
        <v>797</v>
      </c>
      <c r="B342" s="188"/>
      <c r="C342" s="188"/>
      <c r="D342" s="147"/>
      <c r="E342" s="66"/>
      <c r="F342" s="80"/>
      <c r="G342" s="68"/>
      <c r="H342" s="25"/>
      <c r="I342" s="44"/>
      <c r="J342" s="96"/>
      <c r="K342" s="72">
        <f t="shared" si="49"/>
        <v>0</v>
      </c>
    </row>
    <row r="343" spans="1:85" s="4" customFormat="1" ht="17.25" customHeight="1" x14ac:dyDescent="0.25">
      <c r="A343" s="36" t="s">
        <v>798</v>
      </c>
      <c r="B343" s="188" t="s">
        <v>613</v>
      </c>
      <c r="C343" s="188" t="s">
        <v>799</v>
      </c>
      <c r="D343" s="147" t="s">
        <v>676</v>
      </c>
      <c r="E343" s="66" t="s">
        <v>800</v>
      </c>
      <c r="F343" s="80"/>
      <c r="G343" s="68"/>
      <c r="H343" s="25"/>
      <c r="I343" s="44">
        <v>41.7</v>
      </c>
      <c r="J343" s="81"/>
      <c r="K343" s="72">
        <f t="shared" si="49"/>
        <v>0</v>
      </c>
    </row>
    <row r="344" spans="1:85" s="4" customFormat="1" ht="17.25" customHeight="1" x14ac:dyDescent="0.25">
      <c r="A344" s="36" t="s">
        <v>801</v>
      </c>
      <c r="B344" s="188" t="s">
        <v>613</v>
      </c>
      <c r="C344" s="188" t="s">
        <v>624</v>
      </c>
      <c r="D344" s="147" t="s">
        <v>676</v>
      </c>
      <c r="E344" s="66" t="s">
        <v>802</v>
      </c>
      <c r="F344" s="80"/>
      <c r="G344" s="68"/>
      <c r="H344" s="25"/>
      <c r="I344" s="44">
        <v>52.2</v>
      </c>
      <c r="J344" s="81"/>
      <c r="K344" s="72">
        <f t="shared" si="49"/>
        <v>0</v>
      </c>
    </row>
    <row r="345" spans="1:85" s="4" customFormat="1" ht="17.25" customHeight="1" x14ac:dyDescent="0.25">
      <c r="A345" s="112" t="s">
        <v>803</v>
      </c>
      <c r="B345" s="188"/>
      <c r="C345" s="188" t="s">
        <v>622</v>
      </c>
      <c r="D345" s="147" t="s">
        <v>622</v>
      </c>
      <c r="E345" s="66"/>
      <c r="F345" s="80"/>
      <c r="G345" s="68"/>
      <c r="H345" s="25"/>
      <c r="I345" s="44"/>
      <c r="J345" s="96"/>
      <c r="K345" s="72">
        <f t="shared" si="49"/>
        <v>0</v>
      </c>
    </row>
    <row r="346" spans="1:85" s="4" customFormat="1" ht="17.25" customHeight="1" x14ac:dyDescent="0.25">
      <c r="A346" s="111" t="s">
        <v>804</v>
      </c>
      <c r="B346" s="201" t="s">
        <v>613</v>
      </c>
      <c r="C346" s="202" t="s">
        <v>805</v>
      </c>
      <c r="D346" s="203" t="s">
        <v>39</v>
      </c>
      <c r="E346" s="66" t="s">
        <v>806</v>
      </c>
      <c r="F346" s="118"/>
      <c r="G346" s="68"/>
      <c r="H346" s="25"/>
      <c r="I346" s="99">
        <v>38</v>
      </c>
      <c r="J346" s="96"/>
      <c r="K346" s="72">
        <f t="shared" si="49"/>
        <v>0</v>
      </c>
    </row>
    <row r="347" spans="1:85" s="4" customFormat="1" ht="17.25" customHeight="1" x14ac:dyDescent="0.25">
      <c r="A347" s="36" t="s">
        <v>807</v>
      </c>
      <c r="B347" s="188" t="s">
        <v>613</v>
      </c>
      <c r="C347" s="188" t="s">
        <v>805</v>
      </c>
      <c r="D347" s="147" t="s">
        <v>39</v>
      </c>
      <c r="E347" s="66" t="s">
        <v>808</v>
      </c>
      <c r="F347" s="80"/>
      <c r="G347" s="68"/>
      <c r="H347" s="25"/>
      <c r="I347" s="44">
        <v>28</v>
      </c>
      <c r="J347" s="96"/>
      <c r="K347" s="72">
        <f t="shared" si="49"/>
        <v>0</v>
      </c>
    </row>
    <row r="348" spans="1:85" s="4" customFormat="1" ht="17.25" customHeight="1" x14ac:dyDescent="0.25">
      <c r="A348" s="36" t="s">
        <v>807</v>
      </c>
      <c r="B348" s="188" t="s">
        <v>639</v>
      </c>
      <c r="C348" s="188" t="s">
        <v>805</v>
      </c>
      <c r="D348" s="147" t="s">
        <v>649</v>
      </c>
      <c r="E348" s="66" t="s">
        <v>809</v>
      </c>
      <c r="F348" s="80"/>
      <c r="G348" s="68"/>
      <c r="H348" s="25"/>
      <c r="I348" s="44">
        <v>15.6</v>
      </c>
      <c r="J348" s="96"/>
      <c r="K348" s="72">
        <f t="shared" si="49"/>
        <v>0</v>
      </c>
    </row>
    <row r="349" spans="1:85" s="4" customFormat="1" ht="17.25" customHeight="1" x14ac:dyDescent="0.25">
      <c r="A349" s="36" t="s">
        <v>804</v>
      </c>
      <c r="B349" s="188" t="s">
        <v>639</v>
      </c>
      <c r="C349" s="188" t="s">
        <v>805</v>
      </c>
      <c r="D349" s="147" t="s">
        <v>649</v>
      </c>
      <c r="E349" s="66" t="s">
        <v>810</v>
      </c>
      <c r="F349" s="80"/>
      <c r="G349" s="68"/>
      <c r="H349" s="25"/>
      <c r="I349" s="44">
        <v>16.600000000000001</v>
      </c>
      <c r="J349" s="96"/>
      <c r="K349" s="72">
        <f t="shared" si="49"/>
        <v>0</v>
      </c>
    </row>
    <row r="350" spans="1:85" s="4" customFormat="1" ht="17.25" customHeight="1" x14ac:dyDescent="0.25">
      <c r="A350" s="36" t="s">
        <v>811</v>
      </c>
      <c r="B350" s="188" t="s">
        <v>639</v>
      </c>
      <c r="C350" s="188" t="s">
        <v>805</v>
      </c>
      <c r="D350" s="147" t="s">
        <v>649</v>
      </c>
      <c r="E350" s="66" t="s">
        <v>812</v>
      </c>
      <c r="F350" s="80"/>
      <c r="G350" s="68"/>
      <c r="H350" s="25"/>
      <c r="I350" s="44">
        <v>11</v>
      </c>
      <c r="J350" s="96"/>
      <c r="K350" s="72">
        <f t="shared" ref="K350:K376" si="50">G350*I350</f>
        <v>0</v>
      </c>
    </row>
    <row r="351" spans="1:85" s="4" customFormat="1" ht="17.25" customHeight="1" x14ac:dyDescent="0.25">
      <c r="A351" s="36" t="s">
        <v>813</v>
      </c>
      <c r="B351" s="188" t="s">
        <v>639</v>
      </c>
      <c r="C351" s="188" t="s">
        <v>814</v>
      </c>
      <c r="D351" s="147" t="s">
        <v>649</v>
      </c>
      <c r="E351" s="66" t="s">
        <v>815</v>
      </c>
      <c r="F351" s="80"/>
      <c r="G351" s="68"/>
      <c r="H351" s="25"/>
      <c r="I351" s="44">
        <v>14.2</v>
      </c>
      <c r="J351" s="96"/>
      <c r="K351" s="72">
        <f t="shared" si="50"/>
        <v>0</v>
      </c>
    </row>
    <row r="352" spans="1:85" s="20" customFormat="1" ht="17.25" customHeight="1" x14ac:dyDescent="0.25">
      <c r="A352" s="36" t="s">
        <v>816</v>
      </c>
      <c r="B352" s="188" t="s">
        <v>654</v>
      </c>
      <c r="C352" s="188" t="s">
        <v>669</v>
      </c>
      <c r="D352" s="147" t="s">
        <v>39</v>
      </c>
      <c r="E352" s="66" t="s">
        <v>817</v>
      </c>
      <c r="F352" s="80"/>
      <c r="G352" s="68"/>
      <c r="H352" s="25"/>
      <c r="I352" s="44">
        <v>40</v>
      </c>
      <c r="J352" s="96"/>
      <c r="K352" s="72">
        <f t="shared" si="50"/>
        <v>0</v>
      </c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</row>
    <row r="353" spans="1:79" s="4" customFormat="1" ht="17.25" customHeight="1" x14ac:dyDescent="0.25">
      <c r="A353" s="112" t="s">
        <v>818</v>
      </c>
      <c r="B353" s="188"/>
      <c r="C353" s="188" t="s">
        <v>622</v>
      </c>
      <c r="D353" s="147" t="s">
        <v>622</v>
      </c>
      <c r="E353" s="66"/>
      <c r="F353" s="80"/>
      <c r="G353" s="68"/>
      <c r="H353" s="25"/>
      <c r="I353" s="44"/>
      <c r="J353" s="96"/>
      <c r="K353" s="72">
        <f t="shared" si="50"/>
        <v>0</v>
      </c>
    </row>
    <row r="354" spans="1:79" s="3" customFormat="1" x14ac:dyDescent="0.25">
      <c r="A354" s="36" t="s">
        <v>819</v>
      </c>
      <c r="B354" s="188" t="s">
        <v>613</v>
      </c>
      <c r="C354" s="188" t="s">
        <v>820</v>
      </c>
      <c r="D354" s="147" t="s">
        <v>821</v>
      </c>
      <c r="E354" s="66" t="s">
        <v>822</v>
      </c>
      <c r="F354" s="80"/>
      <c r="G354" s="68"/>
      <c r="H354" s="25"/>
      <c r="I354" s="44">
        <v>32</v>
      </c>
      <c r="J354" s="96"/>
      <c r="K354" s="72">
        <f t="shared" si="50"/>
        <v>0</v>
      </c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</row>
    <row r="355" spans="1:79" s="4" customFormat="1" ht="17.25" customHeight="1" x14ac:dyDescent="0.25">
      <c r="A355" s="36" t="s">
        <v>823</v>
      </c>
      <c r="B355" s="188" t="s">
        <v>727</v>
      </c>
      <c r="C355" s="188" t="s">
        <v>33</v>
      </c>
      <c r="D355" s="147" t="s">
        <v>39</v>
      </c>
      <c r="E355" s="66" t="s">
        <v>824</v>
      </c>
      <c r="F355" s="83"/>
      <c r="G355" s="68"/>
      <c r="H355" s="25"/>
      <c r="I355" s="44">
        <v>35</v>
      </c>
      <c r="J355" s="96"/>
      <c r="K355" s="72">
        <f t="shared" si="50"/>
        <v>0</v>
      </c>
    </row>
    <row r="356" spans="1:79" s="4" customFormat="1" ht="17.25" customHeight="1" x14ac:dyDescent="0.25">
      <c r="A356" s="36" t="s">
        <v>825</v>
      </c>
      <c r="B356" s="188" t="s">
        <v>727</v>
      </c>
      <c r="C356" s="188" t="s">
        <v>33</v>
      </c>
      <c r="D356" s="147" t="s">
        <v>39</v>
      </c>
      <c r="E356" s="66" t="s">
        <v>826</v>
      </c>
      <c r="F356" s="83"/>
      <c r="G356" s="68"/>
      <c r="H356" s="25"/>
      <c r="I356" s="44">
        <v>32</v>
      </c>
      <c r="J356" s="96"/>
      <c r="K356" s="72">
        <f t="shared" si="50"/>
        <v>0</v>
      </c>
    </row>
    <row r="357" spans="1:79" s="4" customFormat="1" ht="17.25" customHeight="1" x14ac:dyDescent="0.25">
      <c r="A357" s="36" t="s">
        <v>827</v>
      </c>
      <c r="B357" s="188" t="s">
        <v>28</v>
      </c>
      <c r="C357" s="188" t="s">
        <v>828</v>
      </c>
      <c r="D357" s="147" t="s">
        <v>39</v>
      </c>
      <c r="E357" s="66" t="s">
        <v>829</v>
      </c>
      <c r="F357" s="83"/>
      <c r="G357" s="68"/>
      <c r="H357" s="25"/>
      <c r="I357" s="44">
        <v>38.9</v>
      </c>
      <c r="J357" s="96"/>
      <c r="K357" s="72">
        <f t="shared" si="50"/>
        <v>0</v>
      </c>
    </row>
    <row r="358" spans="1:79" s="4" customFormat="1" ht="17.25" customHeight="1" x14ac:dyDescent="0.25">
      <c r="A358" s="36" t="s">
        <v>830</v>
      </c>
      <c r="B358" s="188" t="s">
        <v>639</v>
      </c>
      <c r="C358" s="188" t="s">
        <v>38</v>
      </c>
      <c r="D358" s="147" t="s">
        <v>39</v>
      </c>
      <c r="E358" s="66" t="s">
        <v>40</v>
      </c>
      <c r="F358" s="80"/>
      <c r="G358" s="68"/>
      <c r="H358" s="25"/>
      <c r="I358" s="44">
        <v>37.799999999999997</v>
      </c>
      <c r="J358" s="96"/>
      <c r="K358" s="72">
        <f t="shared" si="50"/>
        <v>0</v>
      </c>
    </row>
    <row r="359" spans="1:79" s="4" customFormat="1" ht="17.25" customHeight="1" x14ac:dyDescent="0.25">
      <c r="A359" s="36" t="s">
        <v>831</v>
      </c>
      <c r="B359" s="188" t="s">
        <v>639</v>
      </c>
      <c r="C359" s="188" t="s">
        <v>33</v>
      </c>
      <c r="D359" s="147" t="s">
        <v>351</v>
      </c>
      <c r="E359" s="66" t="s">
        <v>34</v>
      </c>
      <c r="F359" s="80"/>
      <c r="G359" s="68"/>
      <c r="H359" s="25"/>
      <c r="I359" s="44">
        <v>45</v>
      </c>
      <c r="J359" s="96"/>
      <c r="K359" s="72">
        <f t="shared" si="50"/>
        <v>0</v>
      </c>
    </row>
    <row r="360" spans="1:79" s="4" customFormat="1" ht="17.25" customHeight="1" x14ac:dyDescent="0.25">
      <c r="A360" s="36" t="s">
        <v>35</v>
      </c>
      <c r="B360" s="188" t="s">
        <v>832</v>
      </c>
      <c r="C360" s="188" t="s">
        <v>36</v>
      </c>
      <c r="D360" s="147" t="s">
        <v>351</v>
      </c>
      <c r="E360" s="66" t="s">
        <v>37</v>
      </c>
      <c r="F360" s="80"/>
      <c r="G360" s="68"/>
      <c r="H360" s="25"/>
      <c r="I360" s="44">
        <v>110</v>
      </c>
      <c r="J360" s="96"/>
      <c r="K360" s="72">
        <f t="shared" si="50"/>
        <v>0</v>
      </c>
    </row>
    <row r="361" spans="1:79" s="4" customFormat="1" ht="17.25" customHeight="1" x14ac:dyDescent="0.25">
      <c r="A361" s="36" t="s">
        <v>833</v>
      </c>
      <c r="B361" s="188" t="s">
        <v>613</v>
      </c>
      <c r="C361" s="188" t="s">
        <v>834</v>
      </c>
      <c r="D361" s="147" t="s">
        <v>39</v>
      </c>
      <c r="E361" s="66" t="s">
        <v>835</v>
      </c>
      <c r="F361" s="80"/>
      <c r="G361" s="68"/>
      <c r="H361" s="25"/>
      <c r="I361" s="44">
        <v>30</v>
      </c>
      <c r="J361" s="96"/>
      <c r="K361" s="72">
        <f t="shared" si="50"/>
        <v>0</v>
      </c>
    </row>
    <row r="362" spans="1:79" s="4" customFormat="1" ht="17.25" customHeight="1" x14ac:dyDescent="0.25">
      <c r="A362" s="36" t="s">
        <v>836</v>
      </c>
      <c r="B362" s="188" t="s">
        <v>613</v>
      </c>
      <c r="C362" s="188" t="s">
        <v>834</v>
      </c>
      <c r="D362" s="147" t="s">
        <v>39</v>
      </c>
      <c r="E362" s="66" t="s">
        <v>837</v>
      </c>
      <c r="F362" s="80"/>
      <c r="G362" s="68"/>
      <c r="H362" s="25"/>
      <c r="I362" s="44">
        <v>30</v>
      </c>
      <c r="J362" s="96"/>
      <c r="K362" s="72">
        <f t="shared" si="50"/>
        <v>0</v>
      </c>
    </row>
    <row r="363" spans="1:79" s="4" customFormat="1" ht="17.25" customHeight="1" x14ac:dyDescent="0.15">
      <c r="A363" s="36" t="s">
        <v>838</v>
      </c>
      <c r="B363" s="188" t="s">
        <v>832</v>
      </c>
      <c r="C363" s="188" t="s">
        <v>793</v>
      </c>
      <c r="D363" s="147" t="s">
        <v>839</v>
      </c>
      <c r="E363" s="66" t="s">
        <v>840</v>
      </c>
      <c r="F363" s="131" t="s">
        <v>660</v>
      </c>
      <c r="G363" s="68"/>
      <c r="H363" s="25"/>
      <c r="I363" s="44">
        <v>56</v>
      </c>
      <c r="J363" s="96"/>
      <c r="K363" s="72">
        <f t="shared" si="50"/>
        <v>0</v>
      </c>
    </row>
    <row r="364" spans="1:79" s="4" customFormat="1" ht="17.25" customHeight="1" x14ac:dyDescent="0.15">
      <c r="A364" s="36" t="s">
        <v>841</v>
      </c>
      <c r="B364" s="188" t="s">
        <v>613</v>
      </c>
      <c r="C364" s="188" t="s">
        <v>36</v>
      </c>
      <c r="D364" s="147" t="s">
        <v>842</v>
      </c>
      <c r="E364" s="66" t="s">
        <v>843</v>
      </c>
      <c r="F364" s="131" t="s">
        <v>660</v>
      </c>
      <c r="G364" s="68"/>
      <c r="H364" s="25"/>
      <c r="I364" s="44">
        <v>49.6</v>
      </c>
      <c r="J364" s="81"/>
      <c r="K364" s="72">
        <f t="shared" si="50"/>
        <v>0</v>
      </c>
    </row>
    <row r="365" spans="1:79" s="4" customFormat="1" ht="17.25" customHeight="1" x14ac:dyDescent="0.15">
      <c r="A365" s="36" t="s">
        <v>844</v>
      </c>
      <c r="B365" s="188" t="s">
        <v>613</v>
      </c>
      <c r="C365" s="188" t="s">
        <v>36</v>
      </c>
      <c r="D365" s="147" t="s">
        <v>842</v>
      </c>
      <c r="E365" s="66" t="s">
        <v>845</v>
      </c>
      <c r="F365" s="131" t="s">
        <v>660</v>
      </c>
      <c r="G365" s="68"/>
      <c r="H365" s="25"/>
      <c r="I365" s="44">
        <v>49.6</v>
      </c>
      <c r="J365" s="81" t="s">
        <v>846</v>
      </c>
      <c r="K365" s="72">
        <f t="shared" si="50"/>
        <v>0</v>
      </c>
    </row>
    <row r="366" spans="1:79" s="4" customFormat="1" ht="17.25" customHeight="1" x14ac:dyDescent="0.15">
      <c r="A366" s="36" t="s">
        <v>847</v>
      </c>
      <c r="B366" s="188" t="s">
        <v>613</v>
      </c>
      <c r="C366" s="188" t="s">
        <v>36</v>
      </c>
      <c r="D366" s="147" t="s">
        <v>842</v>
      </c>
      <c r="E366" s="66" t="s">
        <v>848</v>
      </c>
      <c r="F366" s="131" t="s">
        <v>660</v>
      </c>
      <c r="G366" s="68"/>
      <c r="H366" s="25"/>
      <c r="I366" s="44">
        <v>49.6</v>
      </c>
      <c r="J366" s="81"/>
      <c r="K366" s="72">
        <f t="shared" si="50"/>
        <v>0</v>
      </c>
    </row>
    <row r="367" spans="1:79" s="4" customFormat="1" ht="17.25" customHeight="1" x14ac:dyDescent="0.15">
      <c r="A367" s="36" t="s">
        <v>849</v>
      </c>
      <c r="B367" s="188" t="s">
        <v>639</v>
      </c>
      <c r="C367" s="188" t="s">
        <v>38</v>
      </c>
      <c r="D367" s="147" t="s">
        <v>842</v>
      </c>
      <c r="E367" s="66" t="s">
        <v>850</v>
      </c>
      <c r="F367" s="131" t="s">
        <v>660</v>
      </c>
      <c r="G367" s="68"/>
      <c r="H367" s="25"/>
      <c r="I367" s="44">
        <v>56</v>
      </c>
      <c r="J367" s="81"/>
      <c r="K367" s="72">
        <f t="shared" si="50"/>
        <v>0</v>
      </c>
    </row>
    <row r="368" spans="1:79" s="4" customFormat="1" ht="17.25" customHeight="1" x14ac:dyDescent="0.15">
      <c r="A368" s="36" t="s">
        <v>851</v>
      </c>
      <c r="B368" s="188" t="s">
        <v>639</v>
      </c>
      <c r="C368" s="188" t="s">
        <v>38</v>
      </c>
      <c r="D368" s="147" t="s">
        <v>842</v>
      </c>
      <c r="E368" s="66" t="s">
        <v>852</v>
      </c>
      <c r="F368" s="131" t="s">
        <v>660</v>
      </c>
      <c r="G368" s="68"/>
      <c r="H368" s="25"/>
      <c r="I368" s="44">
        <v>56</v>
      </c>
      <c r="J368" s="81"/>
      <c r="K368" s="72">
        <f t="shared" si="50"/>
        <v>0</v>
      </c>
    </row>
    <row r="369" spans="1:11" s="4" customFormat="1" ht="17.25" customHeight="1" x14ac:dyDescent="0.15">
      <c r="A369" s="36" t="s">
        <v>853</v>
      </c>
      <c r="B369" s="188" t="s">
        <v>639</v>
      </c>
      <c r="C369" s="188" t="s">
        <v>38</v>
      </c>
      <c r="D369" s="147" t="s">
        <v>842</v>
      </c>
      <c r="E369" s="66" t="s">
        <v>854</v>
      </c>
      <c r="F369" s="131" t="s">
        <v>660</v>
      </c>
      <c r="G369" s="68"/>
      <c r="H369" s="25"/>
      <c r="I369" s="44">
        <v>56</v>
      </c>
      <c r="J369" s="81"/>
      <c r="K369" s="72">
        <f t="shared" si="50"/>
        <v>0</v>
      </c>
    </row>
    <row r="370" spans="1:11" s="4" customFormat="1" ht="17.25" customHeight="1" x14ac:dyDescent="0.25">
      <c r="A370" s="112" t="s">
        <v>855</v>
      </c>
      <c r="B370" s="188"/>
      <c r="C370" s="188" t="s">
        <v>622</v>
      </c>
      <c r="D370" s="147" t="s">
        <v>622</v>
      </c>
      <c r="E370" s="66"/>
      <c r="F370" s="80"/>
      <c r="G370" s="68"/>
      <c r="H370" s="25"/>
      <c r="I370" s="44"/>
      <c r="J370" s="96"/>
      <c r="K370" s="72">
        <f t="shared" si="50"/>
        <v>0</v>
      </c>
    </row>
    <row r="371" spans="1:11" s="4" customFormat="1" ht="17.25" customHeight="1" x14ac:dyDescent="0.15">
      <c r="A371" s="36" t="s">
        <v>856</v>
      </c>
      <c r="B371" s="188" t="s">
        <v>654</v>
      </c>
      <c r="C371" s="188" t="s">
        <v>669</v>
      </c>
      <c r="D371" s="147" t="s">
        <v>39</v>
      </c>
      <c r="E371" s="66" t="s">
        <v>857</v>
      </c>
      <c r="F371" s="131" t="s">
        <v>660</v>
      </c>
      <c r="G371" s="68"/>
      <c r="H371" s="25"/>
      <c r="I371" s="44">
        <v>72</v>
      </c>
      <c r="J371" s="96"/>
      <c r="K371" s="72">
        <f t="shared" si="50"/>
        <v>0</v>
      </c>
    </row>
    <row r="372" spans="1:11" s="4" customFormat="1" ht="17.25" customHeight="1" x14ac:dyDescent="0.25">
      <c r="A372" s="112" t="s">
        <v>858</v>
      </c>
      <c r="B372" s="188"/>
      <c r="C372" s="188" t="s">
        <v>622</v>
      </c>
      <c r="D372" s="147" t="s">
        <v>622</v>
      </c>
      <c r="E372" s="66"/>
      <c r="F372" s="80"/>
      <c r="G372" s="68"/>
      <c r="H372" s="25"/>
      <c r="I372" s="44"/>
      <c r="J372" s="96"/>
      <c r="K372" s="72">
        <f t="shared" si="50"/>
        <v>0</v>
      </c>
    </row>
    <row r="373" spans="1:11" s="4" customFormat="1" ht="17.25" customHeight="1" x14ac:dyDescent="0.25">
      <c r="A373" s="36" t="s">
        <v>859</v>
      </c>
      <c r="B373" s="188" t="s">
        <v>639</v>
      </c>
      <c r="C373" s="188" t="s">
        <v>860</v>
      </c>
      <c r="D373" s="147" t="s">
        <v>39</v>
      </c>
      <c r="E373" s="66" t="s">
        <v>861</v>
      </c>
      <c r="F373" s="80"/>
      <c r="G373" s="68"/>
      <c r="H373" s="25"/>
      <c r="I373" s="44">
        <v>120</v>
      </c>
      <c r="J373" s="96"/>
      <c r="K373" s="72">
        <f t="shared" si="50"/>
        <v>0</v>
      </c>
    </row>
    <row r="374" spans="1:11" s="4" customFormat="1" ht="17.25" customHeight="1" x14ac:dyDescent="0.25">
      <c r="A374" s="36" t="s">
        <v>862</v>
      </c>
      <c r="B374" s="188" t="s">
        <v>639</v>
      </c>
      <c r="C374" s="188" t="s">
        <v>860</v>
      </c>
      <c r="D374" s="147" t="s">
        <v>39</v>
      </c>
      <c r="E374" s="66" t="s">
        <v>863</v>
      </c>
      <c r="F374" s="80"/>
      <c r="G374" s="68"/>
      <c r="H374" s="25"/>
      <c r="I374" s="44">
        <v>75</v>
      </c>
      <c r="J374" s="96"/>
      <c r="K374" s="72">
        <f t="shared" si="50"/>
        <v>0</v>
      </c>
    </row>
    <row r="375" spans="1:11" s="4" customFormat="1" ht="17.25" customHeight="1" x14ac:dyDescent="0.25">
      <c r="A375" s="36" t="s">
        <v>864</v>
      </c>
      <c r="B375" s="188" t="s">
        <v>639</v>
      </c>
      <c r="C375" s="188" t="s">
        <v>33</v>
      </c>
      <c r="D375" s="147" t="s">
        <v>39</v>
      </c>
      <c r="E375" s="66" t="s">
        <v>865</v>
      </c>
      <c r="F375" s="80"/>
      <c r="G375" s="68"/>
      <c r="H375" s="25"/>
      <c r="I375" s="44">
        <v>180</v>
      </c>
      <c r="J375" s="96"/>
      <c r="K375" s="72">
        <f t="shared" si="50"/>
        <v>0</v>
      </c>
    </row>
    <row r="376" spans="1:11" s="4" customFormat="1" ht="17.25" customHeight="1" x14ac:dyDescent="0.25">
      <c r="A376" s="36" t="s">
        <v>866</v>
      </c>
      <c r="B376" s="188" t="s">
        <v>867</v>
      </c>
      <c r="C376" s="188" t="s">
        <v>868</v>
      </c>
      <c r="D376" s="147" t="s">
        <v>39</v>
      </c>
      <c r="E376" s="66" t="s">
        <v>869</v>
      </c>
      <c r="F376" s="80"/>
      <c r="G376" s="68"/>
      <c r="H376" s="25"/>
      <c r="I376" s="44">
        <v>290</v>
      </c>
      <c r="J376" s="96"/>
      <c r="K376" s="72">
        <f t="shared" si="50"/>
        <v>0</v>
      </c>
    </row>
    <row r="377" spans="1:11" s="4" customFormat="1" ht="17.25" customHeight="1" x14ac:dyDescent="0.25">
      <c r="A377" s="41"/>
      <c r="B377" s="19"/>
      <c r="C377" s="19"/>
      <c r="D377" s="134"/>
      <c r="E377" s="65" t="s">
        <v>870</v>
      </c>
      <c r="F377" s="142"/>
      <c r="G377" s="16"/>
      <c r="H377" s="16"/>
      <c r="I377" s="42"/>
      <c r="J377" s="43"/>
      <c r="K377" s="72">
        <f t="shared" ref="K377" si="51">G377*I377</f>
        <v>0</v>
      </c>
    </row>
    <row r="378" spans="1:11" s="4" customFormat="1" ht="26.25" customHeight="1" x14ac:dyDescent="0.25">
      <c r="A378" s="6" t="s">
        <v>16</v>
      </c>
      <c r="B378" s="164" t="s">
        <v>17</v>
      </c>
      <c r="C378" s="165"/>
      <c r="D378" s="6" t="s">
        <v>18</v>
      </c>
      <c r="E378" s="7" t="s">
        <v>19</v>
      </c>
      <c r="F378" s="35" t="s">
        <v>20</v>
      </c>
      <c r="G378" s="6" t="s">
        <v>21</v>
      </c>
      <c r="H378" s="6" t="s">
        <v>22</v>
      </c>
      <c r="I378" s="45" t="s">
        <v>23</v>
      </c>
      <c r="J378" s="15" t="s">
        <v>349</v>
      </c>
      <c r="K378" s="72" t="s">
        <v>2</v>
      </c>
    </row>
    <row r="379" spans="1:11" s="4" customFormat="1" ht="17.25" customHeight="1" x14ac:dyDescent="0.25">
      <c r="A379" s="84"/>
      <c r="B379" s="87"/>
      <c r="C379" s="87"/>
      <c r="D379" s="36"/>
      <c r="E379" s="84"/>
      <c r="F379" s="88"/>
      <c r="G379" s="85"/>
      <c r="H379" s="85"/>
      <c r="I379" s="92"/>
      <c r="J379" s="83"/>
      <c r="K379" s="72" t="s">
        <v>2</v>
      </c>
    </row>
    <row r="380" spans="1:11" s="4" customFormat="1" ht="17.25" customHeight="1" x14ac:dyDescent="0.25">
      <c r="A380" s="67"/>
      <c r="B380" s="47"/>
      <c r="C380" s="48"/>
      <c r="D380" s="136"/>
      <c r="E380" s="49"/>
      <c r="F380" s="49"/>
      <c r="G380" s="50"/>
      <c r="H380" s="50"/>
      <c r="I380" s="51"/>
      <c r="J380" s="52"/>
      <c r="K380" s="72" t="s">
        <v>2</v>
      </c>
    </row>
    <row r="381" spans="1:11" s="4" customFormat="1" ht="17.25" customHeight="1" x14ac:dyDescent="0.25">
      <c r="A381" s="67"/>
      <c r="B381" s="47"/>
      <c r="C381" s="48"/>
      <c r="D381" s="137"/>
      <c r="E381" s="49"/>
      <c r="F381" s="49"/>
      <c r="G381" s="50"/>
      <c r="H381" s="50"/>
      <c r="I381" s="51"/>
      <c r="J381" s="52"/>
      <c r="K381" s="72" t="s">
        <v>2</v>
      </c>
    </row>
    <row r="382" spans="1:11" s="4" customFormat="1" ht="17.25" customHeight="1" x14ac:dyDescent="0.25">
      <c r="A382" s="67"/>
      <c r="B382" s="47"/>
      <c r="C382" s="48"/>
      <c r="D382" s="136"/>
      <c r="E382" s="49"/>
      <c r="F382" s="49"/>
      <c r="G382" s="50"/>
      <c r="H382" s="50"/>
      <c r="I382" s="51"/>
      <c r="J382" s="52"/>
      <c r="K382" s="72" t="s">
        <v>2</v>
      </c>
    </row>
    <row r="383" spans="1:11" s="4" customFormat="1" ht="17.25" customHeight="1" x14ac:dyDescent="0.25">
      <c r="A383" s="46"/>
      <c r="B383" s="47"/>
      <c r="C383" s="48"/>
      <c r="D383" s="136"/>
      <c r="E383" s="49"/>
      <c r="F383" s="49"/>
      <c r="G383" s="50"/>
      <c r="H383" s="50"/>
      <c r="I383" s="51"/>
      <c r="J383" s="52"/>
      <c r="K383" s="72" t="s">
        <v>2</v>
      </c>
    </row>
    <row r="384" spans="1:11" s="4" customFormat="1" ht="17.25" customHeight="1" x14ac:dyDescent="0.25">
      <c r="A384" s="46"/>
      <c r="B384" s="47"/>
      <c r="C384" s="48"/>
      <c r="D384" s="136"/>
      <c r="E384" s="49"/>
      <c r="F384" s="49"/>
      <c r="G384" s="82" t="s">
        <v>871</v>
      </c>
      <c r="H384" s="82" t="s">
        <v>872</v>
      </c>
      <c r="I384" s="51"/>
      <c r="J384" s="52"/>
      <c r="K384" s="72" t="s">
        <v>2</v>
      </c>
    </row>
    <row r="385" spans="1:11" s="4" customFormat="1" ht="17.25" customHeight="1" x14ac:dyDescent="0.25">
      <c r="A385" s="53"/>
      <c r="B385" s="54"/>
      <c r="C385" s="55"/>
      <c r="D385" s="138"/>
      <c r="E385" s="56"/>
      <c r="F385" s="56"/>
      <c r="G385" s="64">
        <f>SUM(G85:G309)</f>
        <v>0</v>
      </c>
      <c r="H385" s="103">
        <f>SUM(COUNTIF(G10:G383,"*")-11)</f>
        <v>0</v>
      </c>
      <c r="I385" s="57"/>
      <c r="J385" s="58"/>
      <c r="K385" s="72">
        <f>SUM(K12:K384)</f>
        <v>0</v>
      </c>
    </row>
    <row r="386" spans="1:11" s="4" customFormat="1" ht="17.25" customHeight="1" x14ac:dyDescent="0.25">
      <c r="A386" s="59" t="s">
        <v>873</v>
      </c>
      <c r="B386" s="60"/>
      <c r="C386" s="60"/>
      <c r="D386" s="139"/>
      <c r="E386" s="61"/>
      <c r="F386" s="144"/>
      <c r="G386" s="61"/>
      <c r="H386" s="61"/>
      <c r="I386" s="62"/>
      <c r="J386" s="63"/>
      <c r="K386" s="72"/>
    </row>
    <row r="387" spans="1:11" s="4" customFormat="1" ht="24" customHeight="1" x14ac:dyDescent="0.25">
      <c r="A387" s="153" t="s">
        <v>874</v>
      </c>
      <c r="B387" s="155" t="s">
        <v>875</v>
      </c>
      <c r="C387" s="156"/>
      <c r="D387" s="156"/>
      <c r="E387" s="156"/>
      <c r="F387" s="157"/>
      <c r="G387" s="155" t="s">
        <v>876</v>
      </c>
      <c r="H387" s="156"/>
      <c r="I387" s="156"/>
      <c r="J387" s="157"/>
      <c r="K387" s="73"/>
    </row>
    <row r="388" spans="1:11" s="4" customFormat="1" ht="25.5" customHeight="1" x14ac:dyDescent="0.25">
      <c r="A388" s="154"/>
      <c r="B388" s="158" t="s">
        <v>877</v>
      </c>
      <c r="C388" s="159"/>
      <c r="D388" s="159"/>
      <c r="E388" s="159"/>
      <c r="F388" s="160"/>
      <c r="G388" s="158" t="s">
        <v>878</v>
      </c>
      <c r="H388" s="159"/>
      <c r="I388" s="159"/>
      <c r="J388" s="160"/>
      <c r="K388" s="74"/>
    </row>
    <row r="389" spans="1:11" s="4" customFormat="1" ht="45" customHeight="1" x14ac:dyDescent="0.25">
      <c r="A389" s="154"/>
      <c r="B389" s="161" t="s">
        <v>879</v>
      </c>
      <c r="C389" s="162"/>
      <c r="D389" s="162"/>
      <c r="E389" s="162"/>
      <c r="F389" s="162"/>
      <c r="G389" s="162"/>
      <c r="H389" s="162"/>
      <c r="I389" s="162"/>
      <c r="J389" s="163"/>
      <c r="K389" s="74"/>
    </row>
  </sheetData>
  <sheetProtection formatCells="0" formatColumns="0" formatRows="0" insertColumns="0" insertRows="0" deleteColumns="0" deleteRows="0" selectLockedCells="1" sort="0" autoFilter="0"/>
  <autoFilter ref="A11:J389" xr:uid="{00000000-0001-0000-0000-000000000000}">
    <filterColumn colId="1" showButton="0"/>
  </autoFilter>
  <sortState xmlns:xlrd2="http://schemas.microsoft.com/office/spreadsheetml/2017/richdata2" ref="A85:BD96">
    <sortCondition ref="A85:A96"/>
  </sortState>
  <mergeCells count="24">
    <mergeCell ref="B26:C26"/>
    <mergeCell ref="A1:J1"/>
    <mergeCell ref="A2:J2"/>
    <mergeCell ref="A3:H4"/>
    <mergeCell ref="I3:J4"/>
    <mergeCell ref="B11:C11"/>
    <mergeCell ref="A5:H6"/>
    <mergeCell ref="A7:G8"/>
    <mergeCell ref="H7:H8"/>
    <mergeCell ref="B20:C20"/>
    <mergeCell ref="B146:C146"/>
    <mergeCell ref="A387:A389"/>
    <mergeCell ref="B387:F387"/>
    <mergeCell ref="G387:J387"/>
    <mergeCell ref="B388:F388"/>
    <mergeCell ref="G388:J388"/>
    <mergeCell ref="B389:J389"/>
    <mergeCell ref="B378:C378"/>
    <mergeCell ref="B206:C206"/>
    <mergeCell ref="B218:C218"/>
    <mergeCell ref="B266:C266"/>
    <mergeCell ref="B256:C256"/>
    <mergeCell ref="B259:C259"/>
    <mergeCell ref="B238:C238"/>
  </mergeCells>
  <phoneticPr fontId="2" type="noConversion"/>
  <conditionalFormatting sqref="F304">
    <cfRule type="containsText" dxfId="279" priority="1363" operator="containsText" text="NEW LINE">
      <formula>NOT(ISERROR(SEARCH("NEW LINE",F304)))</formula>
    </cfRule>
    <cfRule type="containsText" dxfId="278" priority="1364" operator="containsText" text="**SPECIAL**">
      <formula>NOT(ISERROR(SEARCH("**SPECIAL**",F304)))</formula>
    </cfRule>
    <cfRule type="containsText" dxfId="277" priority="1365" operator="containsText" text="BACK IN STOCK">
      <formula>NOT(ISERROR(SEARCH("BACK IN STOCK",F304)))</formula>
    </cfRule>
  </conditionalFormatting>
  <conditionalFormatting sqref="F330">
    <cfRule type="containsText" dxfId="276" priority="1369" operator="containsText" text="NEW LINE">
      <formula>NOT(ISERROR(SEARCH("NEW LINE",F330)))</formula>
    </cfRule>
    <cfRule type="containsText" dxfId="275" priority="1370" operator="containsText" text="**SPECIAL**">
      <formula>NOT(ISERROR(SEARCH("**SPECIAL**",F330)))</formula>
    </cfRule>
    <cfRule type="containsText" dxfId="274" priority="1371" operator="containsText" text="BACK IN STOCK">
      <formula>NOT(ISERROR(SEARCH("BACK IN STOCK",F330)))</formula>
    </cfRule>
  </conditionalFormatting>
  <conditionalFormatting sqref="F355:F357">
    <cfRule type="containsText" dxfId="273" priority="1375" operator="containsText" text="NEW LINE">
      <formula>NOT(ISERROR(SEARCH("NEW LINE",F355)))</formula>
    </cfRule>
    <cfRule type="containsText" dxfId="272" priority="1376" operator="containsText" text="**SPECIAL**">
      <formula>NOT(ISERROR(SEARCH("**SPECIAL**",F355)))</formula>
    </cfRule>
    <cfRule type="containsText" dxfId="271" priority="1377" operator="containsText" text="BACK IN STOCK">
      <formula>NOT(ISERROR(SEARCH("BACK IN STOCK",F355)))</formula>
    </cfRule>
  </conditionalFormatting>
  <conditionalFormatting sqref="J1:J13 J15:J24">
    <cfRule type="containsText" dxfId="270" priority="135" operator="containsText" text="**SPECIAL**">
      <formula>NOT(ISERROR(SEARCH("**SPECIAL**",J1)))</formula>
    </cfRule>
    <cfRule type="containsText" dxfId="269" priority="136" operator="containsText" text="BACK IN STOCK">
      <formula>NOT(ISERROR(SEARCH("BACK IN STOCK",J1)))</formula>
    </cfRule>
    <cfRule type="containsText" dxfId="268" priority="137" operator="containsText" text="NEW">
      <formula>NOT(ISERROR(SEARCH("NEW",J1)))</formula>
    </cfRule>
  </conditionalFormatting>
  <conditionalFormatting sqref="J17">
    <cfRule type="containsText" dxfId="267" priority="88" operator="containsText" text="NEW GROWER">
      <formula>NOT(ISERROR(SEARCH("NEW GROWER",J17)))</formula>
    </cfRule>
    <cfRule type="containsText" dxfId="266" priority="89" operator="containsText" text="**SPECIAL**">
      <formula>NOT(ISERROR(SEARCH("**SPECIAL**",J17)))</formula>
    </cfRule>
    <cfRule type="containsText" dxfId="265" priority="90" operator="containsText" text="BACK IN STOCK">
      <formula>NOT(ISERROR(SEARCH("BACK IN STOCK",J17)))</formula>
    </cfRule>
    <cfRule type="containsText" dxfId="264" priority="91" operator="containsText" text="NEW">
      <formula>NOT(ISERROR(SEARCH("NEW",J17)))</formula>
    </cfRule>
  </conditionalFormatting>
  <conditionalFormatting sqref="J25:J26 J145:J146">
    <cfRule type="containsText" dxfId="261" priority="128" operator="containsText" text="BACK IN STOCK">
      <formula>NOT(ISERROR(SEARCH("BACK IN STOCK",J25)))</formula>
    </cfRule>
    <cfRule type="containsText" dxfId="260" priority="129" operator="containsText" text="NEW">
      <formula>NOT(ISERROR(SEARCH("NEW",J25)))</formula>
    </cfRule>
  </conditionalFormatting>
  <conditionalFormatting sqref="J25:J26 J258:J259 J237:J238 J205:J206 J145:J146">
    <cfRule type="containsText" dxfId="255" priority="127" operator="containsText" text="**SPECIAL**">
      <formula>NOT(ISERROR(SEARCH("**SPECIAL**",J25)))</formula>
    </cfRule>
  </conditionalFormatting>
  <conditionalFormatting sqref="J205:J206">
    <cfRule type="containsText" dxfId="249" priority="208" operator="containsText" text="NEW">
      <formula>NOT(ISERROR(SEARCH("NEW",J205)))</formula>
    </cfRule>
  </conditionalFormatting>
  <conditionalFormatting sqref="J205:J206 J237:J238">
    <cfRule type="containsText" dxfId="227" priority="207" operator="containsText" text="BACK IN STOCK">
      <formula>NOT(ISERROR(SEARCH("BACK IN STOCK",J205)))</formula>
    </cfRule>
  </conditionalFormatting>
  <conditionalFormatting sqref="J237:J238">
    <cfRule type="containsText" dxfId="224" priority="97" operator="containsText" text="NEW LINE">
      <formula>NOT(ISERROR(SEARCH("NEW LINE",J237)))</formula>
    </cfRule>
  </conditionalFormatting>
  <conditionalFormatting sqref="J206">
    <cfRule type="containsText" dxfId="223" priority="4134" operator="containsText" text="BACK IN STOCK ">
      <formula>NOT(ISERROR(SEARCH("BACK IN STOCK ",J206)))</formula>
    </cfRule>
  </conditionalFormatting>
  <conditionalFormatting sqref="J206 J12:J13 J15:J18">
    <cfRule type="containsText" dxfId="222" priority="769" operator="containsText" text="NEW GROWER">
      <formula>NOT(ISERROR(SEARCH("NEW GROWER",J12)))</formula>
    </cfRule>
  </conditionalFormatting>
  <conditionalFormatting sqref="J206">
    <cfRule type="containsText" dxfId="221" priority="616" operator="containsText" text="NEW">
      <formula>NOT(ISERROR(SEARCH("NEW",J206)))</formula>
    </cfRule>
  </conditionalFormatting>
  <conditionalFormatting sqref="J217:J218">
    <cfRule type="containsText" dxfId="214" priority="4131" operator="containsText" text="BACK IN STOCK ">
      <formula>NOT(ISERROR(SEARCH("BACK IN STOCK ",J217)))</formula>
    </cfRule>
    <cfRule type="containsText" dxfId="213" priority="4132" operator="containsText" text="NEW LINE">
      <formula>NOT(ISERROR(SEARCH("NEW LINE",J217)))</formula>
    </cfRule>
    <cfRule type="containsText" dxfId="212" priority="4133" operator="containsText" text="**SPECIAL**">
      <formula>NOT(ISERROR(SEARCH("**SPECIAL**",J217)))</formula>
    </cfRule>
  </conditionalFormatting>
  <conditionalFormatting sqref="J237">
    <cfRule type="containsText" dxfId="199" priority="621" operator="containsText" text="BACK IN STOCK ">
      <formula>NOT(ISERROR(SEARCH("BACK IN STOCK ",J237)))</formula>
    </cfRule>
  </conditionalFormatting>
  <conditionalFormatting sqref="J255:J256">
    <cfRule type="containsText" dxfId="194" priority="2502" operator="containsText" text="**SPECIAL**">
      <formula>NOT(ISERROR(SEARCH("**SPECIAL**",J255)))</formula>
    </cfRule>
  </conditionalFormatting>
  <conditionalFormatting sqref="J255:J256 J258:J259">
    <cfRule type="containsText" dxfId="193" priority="658" operator="containsText" text="NEW LINE">
      <formula>NOT(ISERROR(SEARCH("NEW LINE",J255)))</formula>
    </cfRule>
  </conditionalFormatting>
  <conditionalFormatting sqref="J255:J256 J258:J259">
    <cfRule type="containsText" dxfId="192" priority="219" operator="containsText" text="BACK IN STOCK">
      <formula>NOT(ISERROR(SEARCH("BACK IN STOCK",J255)))</formula>
    </cfRule>
  </conditionalFormatting>
  <conditionalFormatting sqref="J265:J267 J273">
    <cfRule type="containsText" dxfId="189" priority="163" operator="containsText" text="BACK IN STOCK">
      <formula>NOT(ISERROR(SEARCH("BACK IN STOCK",J265)))</formula>
    </cfRule>
  </conditionalFormatting>
  <conditionalFormatting sqref="J265:J266">
    <cfRule type="containsText" dxfId="184" priority="1281" operator="containsText" text="NEW LINE">
      <formula>NOT(ISERROR(SEARCH("NEW LINE",J265)))</formula>
    </cfRule>
    <cfRule type="containsText" dxfId="183" priority="1282" operator="containsText" text="**SPECIAL**">
      <formula>NOT(ISERROR(SEARCH("**SPECIAL**",J265)))</formula>
    </cfRule>
  </conditionalFormatting>
  <conditionalFormatting sqref="J267 J273">
    <cfRule type="containsText" dxfId="182" priority="349" operator="containsText" text="NEW">
      <formula>NOT(ISERROR(SEARCH("NEW",J267)))</formula>
    </cfRule>
  </conditionalFormatting>
  <conditionalFormatting sqref="J267 J273">
    <cfRule type="containsText" dxfId="181" priority="70" operator="containsText" text="**SPECIAL**">
      <formula>NOT(ISERROR(SEARCH("**SPECIAL**",J267)))</formula>
    </cfRule>
  </conditionalFormatting>
  <conditionalFormatting sqref="J354:J357">
    <cfRule type="containsText" dxfId="180" priority="419" operator="containsText" text="BACK IN STOCK">
      <formula>NOT(ISERROR(SEARCH("BACK IN STOCK",J354)))</formula>
    </cfRule>
  </conditionalFormatting>
  <conditionalFormatting sqref="J280:J290 J354:J357">
    <cfRule type="containsText" dxfId="171" priority="213" operator="containsText" text="**SPECIAL**">
      <formula>NOT(ISERROR(SEARCH("**SPECIAL**",J280)))</formula>
    </cfRule>
  </conditionalFormatting>
  <conditionalFormatting sqref="J280:J290">
    <cfRule type="containsText" dxfId="170" priority="246" operator="containsText" text="BACK IN STOCK">
      <formula>NOT(ISERROR(SEARCH("BACK IN STOCK",J280)))</formula>
    </cfRule>
    <cfRule type="containsText" dxfId="169" priority="247" operator="containsText" text="NEW">
      <formula>NOT(ISERROR(SEARCH("NEW",J280)))</formula>
    </cfRule>
  </conditionalFormatting>
  <conditionalFormatting sqref="J287:J289">
    <cfRule type="containsText" dxfId="168" priority="181" operator="containsText" text="NEW GROWER">
      <formula>NOT(ISERROR(SEARCH("NEW GROWER",J287)))</formula>
    </cfRule>
  </conditionalFormatting>
  <conditionalFormatting sqref="J288:J289">
    <cfRule type="containsText" dxfId="167" priority="182" operator="containsText" text="BACK IN STOCK">
      <formula>NOT(ISERROR(SEARCH("BACK IN STOCK",J288)))</formula>
    </cfRule>
    <cfRule type="containsText" dxfId="166" priority="183" operator="containsText" text="NEW">
      <formula>NOT(ISERROR(SEARCH("NEW",J288)))</formula>
    </cfRule>
    <cfRule type="containsText" dxfId="165" priority="184" operator="containsText" text="**SPECIAL**">
      <formula>NOT(ISERROR(SEARCH("**SPECIAL**",J288)))</formula>
    </cfRule>
    <cfRule type="containsText" dxfId="164" priority="185" operator="containsText" text="BACK IN STOCK">
      <formula>NOT(ISERROR(SEARCH("BACK IN STOCK",J288)))</formula>
    </cfRule>
  </conditionalFormatting>
  <conditionalFormatting sqref="J290">
    <cfRule type="containsText" dxfId="163" priority="354" operator="containsText" text="NEW">
      <formula>NOT(ISERROR(SEARCH("NEW",J290)))</formula>
    </cfRule>
    <cfRule type="containsText" dxfId="162" priority="356" operator="containsText" text="NEW GROWER">
      <formula>NOT(ISERROR(SEARCH("NEW GROWER",J290)))</formula>
    </cfRule>
  </conditionalFormatting>
  <conditionalFormatting sqref="J290:J294">
    <cfRule type="containsText" dxfId="161" priority="353" operator="containsText" text="**SPECIAL**">
      <formula>NOT(ISERROR(SEARCH("**SPECIAL**",J290)))</formula>
    </cfRule>
    <cfRule type="containsText" dxfId="160" priority="355" operator="containsText" text="BACK IN STOCK">
      <formula>NOT(ISERROR(SEARCH("BACK IN STOCK",J290)))</formula>
    </cfRule>
    <cfRule type="containsText" dxfId="159" priority="357" operator="containsText" text="NEW">
      <formula>NOT(ISERROR(SEARCH("NEW",J290)))</formula>
    </cfRule>
  </conditionalFormatting>
  <conditionalFormatting sqref="J292:J294">
    <cfRule type="containsText" dxfId="158" priority="92" operator="containsText" text="**SPECIAL**">
      <formula>NOT(ISERROR(SEARCH("**SPECIAL**",J292)))</formula>
    </cfRule>
    <cfRule type="containsText" dxfId="157" priority="93" operator="containsText" text="BACK IN STOCK">
      <formula>NOT(ISERROR(SEARCH("BACK IN STOCK",J292)))</formula>
    </cfRule>
    <cfRule type="containsText" dxfId="156" priority="94" operator="containsText" text="NEW">
      <formula>NOT(ISERROR(SEARCH("NEW",J292)))</formula>
    </cfRule>
    <cfRule type="containsText" dxfId="155" priority="96" operator="containsText" text="NEW GROWER">
      <formula>NOT(ISERROR(SEARCH("NEW GROWER",J292)))</formula>
    </cfRule>
  </conditionalFormatting>
  <conditionalFormatting sqref="J295:J296">
    <cfRule type="containsText" dxfId="154" priority="1177" operator="containsText" text="**SPECIAL**">
      <formula>NOT(ISERROR(SEARCH("**SPECIAL**",J295)))</formula>
    </cfRule>
    <cfRule type="containsText" dxfId="153" priority="1212" operator="containsText" text="BACK IN STOCK">
      <formula>NOT(ISERROR(SEARCH("BACK IN STOCK",J295)))</formula>
    </cfRule>
    <cfRule type="containsText" dxfId="152" priority="1607" operator="containsText" text="NEW">
      <formula>NOT(ISERROR(SEARCH("NEW",J295)))</formula>
    </cfRule>
  </conditionalFormatting>
  <conditionalFormatting sqref="J296">
    <cfRule type="containsText" dxfId="151" priority="1175" operator="containsText" text="NEW GROWER">
      <formula>NOT(ISERROR(SEARCH("NEW GROWER",J296)))</formula>
    </cfRule>
  </conditionalFormatting>
  <conditionalFormatting sqref="J297">
    <cfRule type="containsText" dxfId="150" priority="735" operator="containsText" text="NEW LINE">
      <formula>NOT(ISERROR(SEARCH("NEW LINE",J297)))</formula>
    </cfRule>
  </conditionalFormatting>
  <conditionalFormatting sqref="J297:J310">
    <cfRule type="containsText" dxfId="149" priority="462" operator="containsText" text="**SPECIAL**">
      <formula>NOT(ISERROR(SEARCH("**SPECIAL**",J297)))</formula>
    </cfRule>
    <cfRule type="containsText" dxfId="148" priority="463" operator="containsText" text="BACK IN STOCK">
      <formula>NOT(ISERROR(SEARCH("BACK IN STOCK",J297)))</formula>
    </cfRule>
  </conditionalFormatting>
  <conditionalFormatting sqref="J298 J300:J307">
    <cfRule type="containsText" dxfId="147" priority="592" operator="containsText" text="NEW">
      <formula>NOT(ISERROR(SEARCH("NEW",J298)))</formula>
    </cfRule>
  </conditionalFormatting>
  <conditionalFormatting sqref="J299">
    <cfRule type="containsText" dxfId="146" priority="461" operator="containsText" text="NEW">
      <formula>NOT(ISERROR(SEARCH("NEW",J299)))</formula>
    </cfRule>
  </conditionalFormatting>
  <conditionalFormatting sqref="J307">
    <cfRule type="containsText" dxfId="145" priority="593" operator="containsText" text="**SPECIAL**">
      <formula>NOT(ISERROR(SEARCH("**SPECIAL**",J307)))</formula>
    </cfRule>
    <cfRule type="containsText" dxfId="144" priority="594" operator="containsText" text="BACK IN STOCK">
      <formula>NOT(ISERROR(SEARCH("BACK IN STOCK",J307)))</formula>
    </cfRule>
  </conditionalFormatting>
  <conditionalFormatting sqref="J308:J316">
    <cfRule type="containsText" dxfId="143" priority="120" operator="containsText" text="NEW">
      <formula>NOT(ISERROR(SEARCH("NEW",J308)))</formula>
    </cfRule>
  </conditionalFormatting>
  <conditionalFormatting sqref="J311:J316">
    <cfRule type="containsText" dxfId="142" priority="118" operator="containsText" text="**SPECIAL**">
      <formula>NOT(ISERROR(SEARCH("**SPECIAL**",J311)))</formula>
    </cfRule>
    <cfRule type="containsText" dxfId="141" priority="119" operator="containsText" text="BACK IN STOCK">
      <formula>NOT(ISERROR(SEARCH("BACK IN STOCK",J311)))</formula>
    </cfRule>
    <cfRule type="containsText" dxfId="140" priority="121" operator="containsText" text="NEW GROWER">
      <formula>NOT(ISERROR(SEARCH("NEW GROWER",J311)))</formula>
    </cfRule>
  </conditionalFormatting>
  <conditionalFormatting sqref="J317:J320 J328">
    <cfRule type="containsText" dxfId="139" priority="1024" operator="containsText" text="NEW">
      <formula>NOT(ISERROR(SEARCH("NEW",J317)))</formula>
    </cfRule>
  </conditionalFormatting>
  <conditionalFormatting sqref="J317:J321">
    <cfRule type="containsText" dxfId="138" priority="742" operator="containsText" text="**SPECIAL**">
      <formula>NOT(ISERROR(SEARCH("**SPECIAL**",J317)))</formula>
    </cfRule>
    <cfRule type="containsText" dxfId="137" priority="743" operator="containsText" text="BACK IN STOCK">
      <formula>NOT(ISERROR(SEARCH("BACK IN STOCK",J317)))</formula>
    </cfRule>
  </conditionalFormatting>
  <conditionalFormatting sqref="J320">
    <cfRule type="containsText" dxfId="136" priority="1023" operator="containsText" text="NEW GROWER">
      <formula>NOT(ISERROR(SEARCH("NEW GROWER",J320)))</formula>
    </cfRule>
  </conditionalFormatting>
  <conditionalFormatting sqref="J321">
    <cfRule type="containsText" dxfId="135" priority="741" operator="containsText" text="NEW LINE">
      <formula>NOT(ISERROR(SEARCH("NEW LINE",J321)))</formula>
    </cfRule>
  </conditionalFormatting>
  <conditionalFormatting sqref="J322">
    <cfRule type="containsText" dxfId="134" priority="154" operator="containsText" text="NEW GROWER">
      <formula>NOT(ISERROR(SEARCH("NEW GROWER",J322)))</formula>
    </cfRule>
    <cfRule type="containsText" dxfId="133" priority="155" operator="containsText" text="BACK IN STOCK">
      <formula>NOT(ISERROR(SEARCH("BACK IN STOCK",J322)))</formula>
    </cfRule>
    <cfRule type="containsText" dxfId="132" priority="156" operator="containsText" text="NEW">
      <formula>NOT(ISERROR(SEARCH("NEW",J322)))</formula>
    </cfRule>
    <cfRule type="containsText" dxfId="131" priority="157" operator="containsText" text="**SPECIAL**">
      <formula>NOT(ISERROR(SEARCH("**SPECIAL**",J322)))</formula>
    </cfRule>
    <cfRule type="containsText" dxfId="130" priority="158" operator="containsText" text="BACK IN STOCK">
      <formula>NOT(ISERROR(SEARCH("BACK IN STOCK",J322)))</formula>
    </cfRule>
  </conditionalFormatting>
  <conditionalFormatting sqref="J322:J324">
    <cfRule type="containsText" dxfId="129" priority="159" operator="containsText" text="**SPECIAL**">
      <formula>NOT(ISERROR(SEARCH("**SPECIAL**",J322)))</formula>
    </cfRule>
    <cfRule type="containsText" dxfId="128" priority="160" operator="containsText" text="BACK IN STOCK">
      <formula>NOT(ISERROR(SEARCH("BACK IN STOCK",J322)))</formula>
    </cfRule>
    <cfRule type="containsText" dxfId="127" priority="161" operator="containsText" text="NEW">
      <formula>NOT(ISERROR(SEARCH("NEW",J322)))</formula>
    </cfRule>
  </conditionalFormatting>
  <conditionalFormatting sqref="J325">
    <cfRule type="containsText" dxfId="126" priority="146" operator="containsText" text="NEW GROWER">
      <formula>NOT(ISERROR(SEARCH("NEW GROWER",J325)))</formula>
    </cfRule>
    <cfRule type="containsText" dxfId="125" priority="147" operator="containsText" text="BACK IN STOCK">
      <formula>NOT(ISERROR(SEARCH("BACK IN STOCK",J325)))</formula>
    </cfRule>
    <cfRule type="containsText" dxfId="124" priority="148" operator="containsText" text="NEW">
      <formula>NOT(ISERROR(SEARCH("NEW",J325)))</formula>
    </cfRule>
    <cfRule type="containsText" dxfId="123" priority="149" operator="containsText" text="**SPECIAL**">
      <formula>NOT(ISERROR(SEARCH("**SPECIAL**",J325)))</formula>
    </cfRule>
    <cfRule type="containsText" dxfId="122" priority="150" operator="containsText" text="BACK IN STOCK">
      <formula>NOT(ISERROR(SEARCH("BACK IN STOCK",J325)))</formula>
    </cfRule>
    <cfRule type="containsText" dxfId="121" priority="151" operator="containsText" text="**SPECIAL**">
      <formula>NOT(ISERROR(SEARCH("**SPECIAL**",J325)))</formula>
    </cfRule>
    <cfRule type="containsText" dxfId="120" priority="152" operator="containsText" text="BACK IN STOCK">
      <formula>NOT(ISERROR(SEARCH("BACK IN STOCK",J325)))</formula>
    </cfRule>
    <cfRule type="containsText" dxfId="119" priority="153" operator="containsText" text="NEW">
      <formula>NOT(ISERROR(SEARCH("NEW",J325)))</formula>
    </cfRule>
  </conditionalFormatting>
  <conditionalFormatting sqref="J326:J327">
    <cfRule type="containsText" dxfId="118" priority="178" operator="containsText" text="NEW">
      <formula>NOT(ISERROR(SEARCH("NEW",J326)))</formula>
    </cfRule>
  </conditionalFormatting>
  <conditionalFormatting sqref="J326:J328">
    <cfRule type="containsText" dxfId="117" priority="179" operator="containsText" text="**SPECIAL**">
      <formula>NOT(ISERROR(SEARCH("**SPECIAL**",J326)))</formula>
    </cfRule>
    <cfRule type="containsText" dxfId="116" priority="180" operator="containsText" text="BACK IN STOCK">
      <formula>NOT(ISERROR(SEARCH("BACK IN STOCK",J326)))</formula>
    </cfRule>
  </conditionalFormatting>
  <conditionalFormatting sqref="J327">
    <cfRule type="containsText" dxfId="115" priority="175" operator="containsText" text="**SPECIAL**">
      <formula>NOT(ISERROR(SEARCH("**SPECIAL**",J327)))</formula>
    </cfRule>
    <cfRule type="containsText" dxfId="114" priority="176" operator="containsText" text="NEW GROWER">
      <formula>NOT(ISERROR(SEARCH("NEW GROWER",J327)))</formula>
    </cfRule>
    <cfRule type="containsText" dxfId="113" priority="177" operator="containsText" text="BACK IN STOCK">
      <formula>NOT(ISERROR(SEARCH("BACK IN STOCK",J327)))</formula>
    </cfRule>
  </conditionalFormatting>
  <conditionalFormatting sqref="J330 J332:J338">
    <cfRule type="containsText" dxfId="112" priority="1020" operator="containsText" text="NEW">
      <formula>NOT(ISERROR(SEARCH("NEW",J330)))</formula>
    </cfRule>
  </conditionalFormatting>
  <conditionalFormatting sqref="J330:J338">
    <cfRule type="containsText" dxfId="111" priority="200" operator="containsText" text="**SPECIAL**">
      <formula>NOT(ISERROR(SEARCH("**SPECIAL**",J330)))</formula>
    </cfRule>
  </conditionalFormatting>
  <conditionalFormatting sqref="J330:J338">
    <cfRule type="containsText" dxfId="110" priority="575" operator="containsText" text="BACK IN STOCK">
      <formula>NOT(ISERROR(SEARCH("BACK IN STOCK",J330)))</formula>
    </cfRule>
  </conditionalFormatting>
  <conditionalFormatting sqref="J331">
    <cfRule type="containsText" dxfId="109" priority="525" operator="containsText" text="NEW LINE">
      <formula>NOT(ISERROR(SEARCH("NEW LINE",J331)))</formula>
    </cfRule>
  </conditionalFormatting>
  <conditionalFormatting sqref="J337">
    <cfRule type="containsText" dxfId="108" priority="521" operator="containsText" text="NEW LINE">
      <formula>NOT(ISERROR(SEARCH("NEW LINE",J337)))</formula>
    </cfRule>
  </conditionalFormatting>
  <conditionalFormatting sqref="J338:J346 J348:J353">
    <cfRule type="containsText" dxfId="107" priority="776" operator="containsText" text="NEW">
      <formula>NOT(ISERROR(SEARCH("NEW",J338)))</formula>
    </cfRule>
  </conditionalFormatting>
  <conditionalFormatting sqref="J338:J346 J348:J354">
    <cfRule type="containsText" dxfId="106" priority="435" operator="containsText" text="BACK IN STOCK">
      <formula>NOT(ISERROR(SEARCH("BACK IN STOCK",J338)))</formula>
    </cfRule>
  </conditionalFormatting>
  <conditionalFormatting sqref="J339">
    <cfRule type="containsText" dxfId="105" priority="1019" operator="containsText" text="NEW GROWER">
      <formula>NOT(ISERROR(SEARCH("NEW GROWER",J339)))</formula>
    </cfRule>
  </conditionalFormatting>
  <conditionalFormatting sqref="J339:J341">
    <cfRule type="containsText" dxfId="104" priority="415" operator="containsText" text="NEW GROWER">
      <formula>NOT(ISERROR(SEARCH("NEW GROWER",J339)))</formula>
    </cfRule>
  </conditionalFormatting>
  <conditionalFormatting sqref="J341">
    <cfRule type="containsText" dxfId="103" priority="571" operator="containsText" text="NEW">
      <formula>NOT(ISERROR(SEARCH("NEW",J341)))</formula>
    </cfRule>
    <cfRule type="containsText" dxfId="102" priority="572" operator="containsText" text="NEW GROWER">
      <formula>NOT(ISERROR(SEARCH("NEW GROWER",J341)))</formula>
    </cfRule>
  </conditionalFormatting>
  <conditionalFormatting sqref="J343:J344">
    <cfRule type="containsText" dxfId="101" priority="1003" operator="containsText" text="NEW GROWER">
      <formula>NOT(ISERROR(SEARCH("NEW GROWER",J343)))</formula>
    </cfRule>
  </conditionalFormatting>
  <conditionalFormatting sqref="J347">
    <cfRule type="containsText" dxfId="100" priority="138" operator="containsText" text="NEW GROWER">
      <formula>NOT(ISERROR(SEARCH("NEW GROWER",J347)))</formula>
    </cfRule>
    <cfRule type="containsText" dxfId="99" priority="139" operator="containsText" text="BACK IN STOCK">
      <formula>NOT(ISERROR(SEARCH("BACK IN STOCK",J347)))</formula>
    </cfRule>
    <cfRule type="containsText" dxfId="98" priority="140" operator="containsText" text="NEW">
      <formula>NOT(ISERROR(SEARCH("NEW",J347)))</formula>
    </cfRule>
    <cfRule type="containsText" dxfId="97" priority="141" operator="containsText" text="**SPECIAL**">
      <formula>NOT(ISERROR(SEARCH("**SPECIAL**",J347)))</formula>
    </cfRule>
    <cfRule type="containsText" dxfId="96" priority="142" operator="containsText" text="BACK IN STOCK">
      <formula>NOT(ISERROR(SEARCH("BACK IN STOCK",J347)))</formula>
    </cfRule>
    <cfRule type="containsText" dxfId="95" priority="143" operator="containsText" text="**SPECIAL**">
      <formula>NOT(ISERROR(SEARCH("**SPECIAL**",J347)))</formula>
    </cfRule>
    <cfRule type="containsText" dxfId="94" priority="144" operator="containsText" text="BACK IN STOCK">
      <formula>NOT(ISERROR(SEARCH("BACK IN STOCK",J347)))</formula>
    </cfRule>
    <cfRule type="containsText" dxfId="93" priority="145" operator="containsText" text="NEW">
      <formula>NOT(ISERROR(SEARCH("NEW",J347)))</formula>
    </cfRule>
  </conditionalFormatting>
  <conditionalFormatting sqref="J348:J354 J336:J346">
    <cfRule type="containsText" dxfId="92" priority="434" operator="containsText" text="**SPECIAL**">
      <formula>NOT(ISERROR(SEARCH("**SPECIAL**",J336)))</formula>
    </cfRule>
  </conditionalFormatting>
  <conditionalFormatting sqref="J352">
    <cfRule type="containsText" dxfId="91" priority="982" operator="containsText" text="**SPECIAL**">
      <formula>NOT(ISERROR(SEARCH("**SPECIAL**",J352)))</formula>
    </cfRule>
    <cfRule type="containsText" dxfId="90" priority="983" operator="containsText" text="NEW">
      <formula>NOT(ISERROR(SEARCH("NEW",J352)))</formula>
    </cfRule>
    <cfRule type="containsText" dxfId="89" priority="984" operator="containsText" text="BACK IN STOCK">
      <formula>NOT(ISERROR(SEARCH("BACK IN STOCK",J352)))</formula>
    </cfRule>
    <cfRule type="containsText" dxfId="88" priority="985" operator="containsText" text="NEW GROWER">
      <formula>NOT(ISERROR(SEARCH("NEW GROWER",J352)))</formula>
    </cfRule>
    <cfRule type="containsText" dxfId="87" priority="1008" operator="containsText" text="NEW">
      <formula>NOT(ISERROR(SEARCH("NEW",J352)))</formula>
    </cfRule>
  </conditionalFormatting>
  <conditionalFormatting sqref="J354">
    <cfRule type="containsText" dxfId="86" priority="318" operator="containsText" text="NEW GROWER">
      <formula>NOT(ISERROR(SEARCH("NEW GROWER",J354)))</formula>
    </cfRule>
  </conditionalFormatting>
  <conditionalFormatting sqref="J354:J360">
    <cfRule type="containsText" dxfId="85" priority="79" operator="containsText" text="NEW">
      <formula>NOT(ISERROR(SEARCH("NEW",J354)))</formula>
    </cfRule>
  </conditionalFormatting>
  <conditionalFormatting sqref="J357:J362">
    <cfRule type="containsText" dxfId="84" priority="77" operator="containsText" text="**SPECIAL**">
      <formula>NOT(ISERROR(SEARCH("**SPECIAL**",J357)))</formula>
    </cfRule>
    <cfRule type="containsText" dxfId="83" priority="78" operator="containsText" text="BACK IN STOCK">
      <formula>NOT(ISERROR(SEARCH("BACK IN STOCK",J357)))</formula>
    </cfRule>
  </conditionalFormatting>
  <conditionalFormatting sqref="J358:J360">
    <cfRule type="containsText" dxfId="82" priority="73" operator="containsText" text="**SPECIAL**">
      <formula>NOT(ISERROR(SEARCH("**SPECIAL**",J358)))</formula>
    </cfRule>
    <cfRule type="containsText" dxfId="81" priority="74" operator="containsText" text="BACK IN STOCK">
      <formula>NOT(ISERROR(SEARCH("BACK IN STOCK",J358)))</formula>
    </cfRule>
    <cfRule type="containsText" dxfId="80" priority="75" operator="containsText" text="NEW">
      <formula>NOT(ISERROR(SEARCH("NEW",J358)))</formula>
    </cfRule>
    <cfRule type="containsText" dxfId="79" priority="76" operator="containsText" text="NEW GROWER">
      <formula>NOT(ISERROR(SEARCH("NEW GROWER",J358)))</formula>
    </cfRule>
  </conditionalFormatting>
  <conditionalFormatting sqref="J361:J365">
    <cfRule type="containsText" dxfId="78" priority="116" operator="containsText" text="NEW">
      <formula>NOT(ISERROR(SEARCH("NEW",J361)))</formula>
    </cfRule>
  </conditionalFormatting>
  <conditionalFormatting sqref="J363 J366:J369">
    <cfRule type="containsText" dxfId="77" priority="1015" operator="containsText" text="NEW GROWER">
      <formula>NOT(ISERROR(SEARCH("NEW GROWER",J363)))</formula>
    </cfRule>
  </conditionalFormatting>
  <conditionalFormatting sqref="J363 J366:J372 J374:J1048576">
    <cfRule type="containsText" dxfId="76" priority="935" operator="containsText" text="BACK IN STOCK">
      <formula>NOT(ISERROR(SEARCH("BACK IN STOCK",J363)))</formula>
    </cfRule>
  </conditionalFormatting>
  <conditionalFormatting sqref="J364:J365">
    <cfRule type="containsText" dxfId="75" priority="114" operator="containsText" text="**SPECIAL**">
      <formula>NOT(ISERROR(SEARCH("**SPECIAL**",J364)))</formula>
    </cfRule>
    <cfRule type="containsText" dxfId="74" priority="115" operator="containsText" text="BACK IN STOCK">
      <formula>NOT(ISERROR(SEARCH("BACK IN STOCK",J364)))</formula>
    </cfRule>
    <cfRule type="containsText" dxfId="73" priority="117" operator="containsText" text="NEW GROWER">
      <formula>NOT(ISERROR(SEARCH("NEW GROWER",J364)))</formula>
    </cfRule>
  </conditionalFormatting>
  <conditionalFormatting sqref="J366:J372 J374:J378 J363">
    <cfRule type="containsText" dxfId="72" priority="934" operator="containsText" text="**SPECIAL**">
      <formula>NOT(ISERROR(SEARCH("**SPECIAL**",J363)))</formula>
    </cfRule>
  </conditionalFormatting>
  <conditionalFormatting sqref="J366:J376">
    <cfRule type="containsText" dxfId="71" priority="253" operator="containsText" text="NEW">
      <formula>NOT(ISERROR(SEARCH("NEW",J366)))</formula>
    </cfRule>
  </conditionalFormatting>
  <conditionalFormatting sqref="J373:J374">
    <cfRule type="containsText" dxfId="70" priority="251" operator="containsText" text="**SPECIAL**">
      <formula>NOT(ISERROR(SEARCH("**SPECIAL**",J373)))</formula>
    </cfRule>
    <cfRule type="containsText" dxfId="69" priority="252" operator="containsText" text="BACK IN STOCK">
      <formula>NOT(ISERROR(SEARCH("BACK IN STOCK",J373)))</formula>
    </cfRule>
  </conditionalFormatting>
  <conditionalFormatting sqref="J377:J1048576">
    <cfRule type="containsText" dxfId="68" priority="1613" operator="containsText" text="NEW LINE">
      <formula>NOT(ISERROR(SEARCH("NEW LINE",J377)))</formula>
    </cfRule>
  </conditionalFormatting>
  <conditionalFormatting sqref="J379">
    <cfRule type="containsText" dxfId="67" priority="2063" operator="containsText" text="NEW">
      <formula>NOT(ISERROR(SEARCH("NEW",J379)))</formula>
    </cfRule>
    <cfRule type="containsText" dxfId="66" priority="2064" operator="containsText" text="BACK IN STOCK">
      <formula>NOT(ISERROR(SEARCH("BACK IN STOCK",J379)))</formula>
    </cfRule>
    <cfRule type="containsText" dxfId="65" priority="2065" operator="containsText" text="NEW LINE">
      <formula>NOT(ISERROR(SEARCH("NEW LINE",J379)))</formula>
    </cfRule>
    <cfRule type="containsText" dxfId="64" priority="2066" operator="containsText" text="**SPECIAL**">
      <formula>NOT(ISERROR(SEARCH("**SPECIAL**",J379)))</formula>
    </cfRule>
    <cfRule type="containsText" dxfId="63" priority="2067" operator="containsText" text="NEW LINE">
      <formula>NOT(ISERROR(SEARCH("NEW LINE",J379)))</formula>
    </cfRule>
    <cfRule type="containsText" dxfId="62" priority="2068" operator="containsText" text="BACK IN STOCK">
      <formula>NOT(ISERROR(SEARCH("BACK IN STOCK",J379)))</formula>
    </cfRule>
    <cfRule type="containsText" dxfId="61" priority="2069" operator="containsText" text="NEW LINE">
      <formula>NOT(ISERROR(SEARCH("NEW LINE",J379)))</formula>
    </cfRule>
    <cfRule type="containsText" dxfId="60" priority="2070" operator="containsText" text="BACK IN STOCK">
      <formula>NOT(ISERROR(SEARCH("BACK IN STOCK",J379)))</formula>
    </cfRule>
    <cfRule type="containsText" dxfId="59" priority="2071" operator="containsText" text="NEW LINE">
      <formula>NOT(ISERROR(SEARCH("NEW LINE",J379)))</formula>
    </cfRule>
    <cfRule type="containsText" dxfId="58" priority="2072" operator="containsText" text="**SPECIAL**">
      <formula>NOT(ISERROR(SEARCH("**SPECIAL**",J379)))</formula>
    </cfRule>
    <cfRule type="containsText" dxfId="57" priority="2073" operator="containsText" text="NEW LINE">
      <formula>NOT(ISERROR(SEARCH("NEW LINE",J379)))</formula>
    </cfRule>
    <cfRule type="containsText" dxfId="56" priority="2074" operator="containsText" text="BACK IN STOCK">
      <formula>NOT(ISERROR(SEARCH("BACK IN STOCK",J379)))</formula>
    </cfRule>
    <cfRule type="containsText" dxfId="55" priority="2075" operator="containsText" text="NEW LINE">
      <formula>NOT(ISERROR(SEARCH("NEW LINE",J379)))</formula>
    </cfRule>
    <cfRule type="containsText" dxfId="54" priority="2076" operator="containsText" text="BACK IN STOCK">
      <formula>NOT(ISERROR(SEARCH("BACK IN STOCK",J379)))</formula>
    </cfRule>
    <cfRule type="containsText" dxfId="53" priority="2077" operator="containsText" text="NEW LINE">
      <formula>NOT(ISERROR(SEARCH("NEW LINE",J379)))</formula>
    </cfRule>
    <cfRule type="containsText" dxfId="52" priority="2078" operator="containsText" text="BACK IN STOCK">
      <formula>NOT(ISERROR(SEARCH("BACK IN STOCK",J379)))</formula>
    </cfRule>
  </conditionalFormatting>
  <conditionalFormatting sqref="J379:J1048576">
    <cfRule type="containsText" dxfId="51" priority="2081" operator="containsText" text="**SPECIAL**">
      <formula>NOT(ISERROR(SEARCH("**SPECIAL**",J379)))</formula>
    </cfRule>
  </conditionalFormatting>
  <conditionalFormatting sqref="J14">
    <cfRule type="containsText" dxfId="41" priority="40" operator="containsText" text="**SPECIAL**">
      <formula>NOT(ISERROR(SEARCH("**SPECIAL**",J14)))</formula>
    </cfRule>
  </conditionalFormatting>
  <conditionalFormatting sqref="J14">
    <cfRule type="containsText" dxfId="40" priority="42" operator="containsText" text="NEW">
      <formula>NOT(ISERROR(SEARCH("NEW",J14)))</formula>
    </cfRule>
  </conditionalFormatting>
  <conditionalFormatting sqref="J14">
    <cfRule type="containsText" dxfId="39" priority="41" operator="containsText" text="BACK IN STOCK">
      <formula>NOT(ISERROR(SEARCH("BACK IN STOCK",J14)))</formula>
    </cfRule>
  </conditionalFormatting>
  <conditionalFormatting sqref="J14">
    <cfRule type="containsText" dxfId="38" priority="39" operator="containsText" text="NEW GROWER">
      <formula>NOT(ISERROR(SEARCH("NEW GROWER",J14)))</formula>
    </cfRule>
  </conditionalFormatting>
  <conditionalFormatting sqref="J21:J24">
    <cfRule type="containsText" dxfId="36" priority="37" operator="containsText" text="NEW GROWER">
      <formula>NOT(ISERROR(SEARCH("NEW GROWER",J21)))</formula>
    </cfRule>
  </conditionalFormatting>
  <conditionalFormatting sqref="J27:J144">
    <cfRule type="containsText" dxfId="35" priority="33" operator="containsText" text="**SPECIAL**">
      <formula>NOT(ISERROR(SEARCH("**SPECIAL**",J27)))</formula>
    </cfRule>
    <cfRule type="containsText" dxfId="34" priority="34" operator="containsText" text="BACK IN STOCK">
      <formula>NOT(ISERROR(SEARCH("BACK IN STOCK",J27)))</formula>
    </cfRule>
    <cfRule type="containsText" dxfId="33" priority="35" operator="containsText" text="NEW">
      <formula>NOT(ISERROR(SEARCH("NEW",J27)))</formula>
    </cfRule>
  </conditionalFormatting>
  <conditionalFormatting sqref="J27:J144">
    <cfRule type="containsText" dxfId="32" priority="36" operator="containsText" text="NEW GROWER">
      <formula>NOT(ISERROR(SEARCH("NEW GROWER",J27)))</formula>
    </cfRule>
  </conditionalFormatting>
  <conditionalFormatting sqref="J147:J204">
    <cfRule type="containsText" dxfId="31" priority="29" operator="containsText" text="**SPECIAL**">
      <formula>NOT(ISERROR(SEARCH("**SPECIAL**",J147)))</formula>
    </cfRule>
    <cfRule type="containsText" dxfId="30" priority="30" operator="containsText" text="BACK IN STOCK">
      <formula>NOT(ISERROR(SEARCH("BACK IN STOCK",J147)))</formula>
    </cfRule>
    <cfRule type="containsText" dxfId="29" priority="31" operator="containsText" text="NEW">
      <formula>NOT(ISERROR(SEARCH("NEW",J147)))</formula>
    </cfRule>
  </conditionalFormatting>
  <conditionalFormatting sqref="J147:J204">
    <cfRule type="containsText" dxfId="28" priority="32" operator="containsText" text="NEW GROWER">
      <formula>NOT(ISERROR(SEARCH("NEW GROWER",J147)))</formula>
    </cfRule>
  </conditionalFormatting>
  <conditionalFormatting sqref="J207:J216">
    <cfRule type="containsText" dxfId="27" priority="25" operator="containsText" text="**SPECIAL**">
      <formula>NOT(ISERROR(SEARCH("**SPECIAL**",J207)))</formula>
    </cfRule>
    <cfRule type="containsText" dxfId="26" priority="26" operator="containsText" text="BACK IN STOCK">
      <formula>NOT(ISERROR(SEARCH("BACK IN STOCK",J207)))</formula>
    </cfRule>
    <cfRule type="containsText" dxfId="25" priority="27" operator="containsText" text="NEW">
      <formula>NOT(ISERROR(SEARCH("NEW",J207)))</formula>
    </cfRule>
  </conditionalFormatting>
  <conditionalFormatting sqref="J207:J216">
    <cfRule type="containsText" dxfId="24" priority="28" operator="containsText" text="NEW GROWER">
      <formula>NOT(ISERROR(SEARCH("NEW GROWER",J207)))</formula>
    </cfRule>
  </conditionalFormatting>
  <conditionalFormatting sqref="J219:J236">
    <cfRule type="containsText" dxfId="23" priority="21" operator="containsText" text="**SPECIAL**">
      <formula>NOT(ISERROR(SEARCH("**SPECIAL**",J219)))</formula>
    </cfRule>
    <cfRule type="containsText" dxfId="22" priority="22" operator="containsText" text="BACK IN STOCK">
      <formula>NOT(ISERROR(SEARCH("BACK IN STOCK",J219)))</formula>
    </cfRule>
    <cfRule type="containsText" dxfId="21" priority="23" operator="containsText" text="NEW">
      <formula>NOT(ISERROR(SEARCH("NEW",J219)))</formula>
    </cfRule>
  </conditionalFormatting>
  <conditionalFormatting sqref="J219:J236">
    <cfRule type="containsText" dxfId="20" priority="24" operator="containsText" text="NEW GROWER">
      <formula>NOT(ISERROR(SEARCH("NEW GROWER",J219)))</formula>
    </cfRule>
  </conditionalFormatting>
  <conditionalFormatting sqref="J239:J254">
    <cfRule type="containsText" dxfId="19" priority="17" operator="containsText" text="**SPECIAL**">
      <formula>NOT(ISERROR(SEARCH("**SPECIAL**",J239)))</formula>
    </cfRule>
    <cfRule type="containsText" dxfId="18" priority="18" operator="containsText" text="BACK IN STOCK">
      <formula>NOT(ISERROR(SEARCH("BACK IN STOCK",J239)))</formula>
    </cfRule>
    <cfRule type="containsText" dxfId="17" priority="19" operator="containsText" text="NEW">
      <formula>NOT(ISERROR(SEARCH("NEW",J239)))</formula>
    </cfRule>
  </conditionalFormatting>
  <conditionalFormatting sqref="J239:J254">
    <cfRule type="containsText" dxfId="16" priority="20" operator="containsText" text="NEW GROWER">
      <formula>NOT(ISERROR(SEARCH("NEW GROWER",J239)))</formula>
    </cfRule>
  </conditionalFormatting>
  <conditionalFormatting sqref="J257">
    <cfRule type="containsText" dxfId="15" priority="13" operator="containsText" text="**SPECIAL**">
      <formula>NOT(ISERROR(SEARCH("**SPECIAL**",J257)))</formula>
    </cfRule>
    <cfRule type="containsText" dxfId="14" priority="14" operator="containsText" text="BACK IN STOCK">
      <formula>NOT(ISERROR(SEARCH("BACK IN STOCK",J257)))</formula>
    </cfRule>
    <cfRule type="containsText" dxfId="13" priority="15" operator="containsText" text="NEW">
      <formula>NOT(ISERROR(SEARCH("NEW",J257)))</formula>
    </cfRule>
  </conditionalFormatting>
  <conditionalFormatting sqref="J257">
    <cfRule type="containsText" dxfId="12" priority="16" operator="containsText" text="NEW GROWER">
      <formula>NOT(ISERROR(SEARCH("NEW GROWER",J257)))</formula>
    </cfRule>
  </conditionalFormatting>
  <conditionalFormatting sqref="J260:J264">
    <cfRule type="containsText" dxfId="11" priority="9" operator="containsText" text="**SPECIAL**">
      <formula>NOT(ISERROR(SEARCH("**SPECIAL**",J260)))</formula>
    </cfRule>
    <cfRule type="containsText" dxfId="10" priority="10" operator="containsText" text="BACK IN STOCK">
      <formula>NOT(ISERROR(SEARCH("BACK IN STOCK",J260)))</formula>
    </cfRule>
    <cfRule type="containsText" dxfId="9" priority="11" operator="containsText" text="NEW">
      <formula>NOT(ISERROR(SEARCH("NEW",J260)))</formula>
    </cfRule>
  </conditionalFormatting>
  <conditionalFormatting sqref="J260:J264">
    <cfRule type="containsText" dxfId="8" priority="12" operator="containsText" text="NEW GROWER">
      <formula>NOT(ISERROR(SEARCH("NEW GROWER",J260)))</formula>
    </cfRule>
  </conditionalFormatting>
  <conditionalFormatting sqref="J268:J272">
    <cfRule type="containsText" dxfId="7" priority="5" operator="containsText" text="**SPECIAL**">
      <formula>NOT(ISERROR(SEARCH("**SPECIAL**",J268)))</formula>
    </cfRule>
    <cfRule type="containsText" dxfId="6" priority="6" operator="containsText" text="BACK IN STOCK">
      <formula>NOT(ISERROR(SEARCH("BACK IN STOCK",J268)))</formula>
    </cfRule>
    <cfRule type="containsText" dxfId="5" priority="7" operator="containsText" text="NEW">
      <formula>NOT(ISERROR(SEARCH("NEW",J268)))</formula>
    </cfRule>
  </conditionalFormatting>
  <conditionalFormatting sqref="J268:J272">
    <cfRule type="containsText" dxfId="4" priority="8" operator="containsText" text="NEW GROWER">
      <formula>NOT(ISERROR(SEARCH("NEW GROWER",J268)))</formula>
    </cfRule>
  </conditionalFormatting>
  <conditionalFormatting sqref="J274:J279">
    <cfRule type="containsText" dxfId="3" priority="1" operator="containsText" text="**SPECIAL**">
      <formula>NOT(ISERROR(SEARCH("**SPECIAL**",J274)))</formula>
    </cfRule>
    <cfRule type="containsText" dxfId="2" priority="2" operator="containsText" text="BACK IN STOCK">
      <formula>NOT(ISERROR(SEARCH("BACK IN STOCK",J274)))</formula>
    </cfRule>
    <cfRule type="containsText" dxfId="1" priority="3" operator="containsText" text="NEW">
      <formula>NOT(ISERROR(SEARCH("NEW",J274)))</formula>
    </cfRule>
  </conditionalFormatting>
  <conditionalFormatting sqref="J274:J279">
    <cfRule type="containsText" dxfId="0" priority="4" operator="containsText" text="NEW GROWER">
      <formula>NOT(ISERROR(SEARCH("NEW GROWER",J274)))</formula>
    </cfRule>
  </conditionalFormatting>
  <hyperlinks>
    <hyperlink ref="A9" r:id="rId1" display="http://wholesale.ecofarms.com.au/" xr:uid="{ABE9634A-7052-4168-A7A0-04F65F12B87E}"/>
  </hyperlinks>
  <pageMargins left="0.35433070866141736" right="0.11811023622047245" top="0.31496062992125984" bottom="0.9055118110236221" header="0.31496062992125984" footer="0.19685039370078741"/>
  <pageSetup scale="93" fitToHeight="0" orientation="portrait" r:id="rId2"/>
  <headerFooter differentFirst="1">
    <oddFooter xml:space="preserve">&amp;C&amp;"-,Bold"Line Count --&gt;
Line Count After Add on --&gt; 
Page &amp;P/&amp;N&amp;R
</oddFooter>
    <firstHeader xml:space="preserve">&amp;L&amp;"-,Bold"&amp;12&amp;KC00000
&amp;C&amp;"-,Bold"&amp;12&amp;KC00000                           
</firstHeader>
    <firstFooter xml:space="preserve">&amp;LCustomer Code:
Delivery Day: 
Run:
Freight Class: &amp;CLine Count --&gt;
Line Count After Add on --&gt; 
Page &amp;P/&amp;N&amp;R&amp;14Picker:___________
Checker:___________&amp;8
&amp;14Box Count:&amp;12___________ </first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32" sqref="G32"/>
    </sheetView>
  </sheetViews>
  <sheetFormatPr defaultColWidth="8.85546875" defaultRowHeight="15" x14ac:dyDescent="0.25"/>
  <cols>
    <col min="1" max="16384" width="8.85546875" style="75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439"/>
  <sheetViews>
    <sheetView showZeros="0" topLeftCell="A359" workbookViewId="0">
      <selection activeCell="J378" sqref="J378"/>
    </sheetView>
  </sheetViews>
  <sheetFormatPr defaultColWidth="8.85546875" defaultRowHeight="15" x14ac:dyDescent="0.25"/>
  <cols>
    <col min="1" max="1" width="21" style="75" customWidth="1"/>
    <col min="2" max="2" width="11.42578125" style="75" bestFit="1" customWidth="1"/>
    <col min="3" max="3" width="22.42578125" style="75" customWidth="1"/>
    <col min="4" max="4" width="6" style="77" customWidth="1"/>
    <col min="5" max="5" width="7.42578125" style="77" customWidth="1"/>
    <col min="6" max="6" width="23.42578125" style="75" customWidth="1"/>
    <col min="7" max="9" width="8.85546875" style="75" bestFit="1" customWidth="1"/>
    <col min="10" max="10" width="16.140625" style="76" customWidth="1"/>
    <col min="11" max="11" width="6.28515625" style="75" customWidth="1"/>
    <col min="12" max="16384" width="8.85546875" style="75"/>
  </cols>
  <sheetData>
    <row r="1" spans="1:11" ht="15" customHeight="1" x14ac:dyDescent="0.25">
      <c r="A1" s="86" t="s">
        <v>1319</v>
      </c>
      <c r="B1" s="113">
        <v>46255</v>
      </c>
      <c r="C1" s="113">
        <v>46261</v>
      </c>
      <c r="D1" s="75"/>
      <c r="E1" s="75"/>
      <c r="K1" s="77" t="s">
        <v>880</v>
      </c>
    </row>
    <row r="2" spans="1:11" x14ac:dyDescent="0.25">
      <c r="A2" s="75" t="s">
        <v>19</v>
      </c>
      <c r="B2" s="75" t="s">
        <v>881</v>
      </c>
      <c r="C2" s="75" t="s">
        <v>16</v>
      </c>
      <c r="D2" s="75" t="s">
        <v>882</v>
      </c>
      <c r="E2" s="75" t="s">
        <v>17</v>
      </c>
      <c r="F2" s="75" t="s">
        <v>18</v>
      </c>
      <c r="H2" s="75" t="s">
        <v>883</v>
      </c>
      <c r="I2" s="75" t="s">
        <v>884</v>
      </c>
      <c r="J2" s="75" t="s">
        <v>24</v>
      </c>
      <c r="K2" s="75">
        <v>0</v>
      </c>
    </row>
    <row r="3" spans="1:11" x14ac:dyDescent="0.25">
      <c r="A3" s="76" t="str">
        <f>'Avail List'!E12</f>
        <v>CAPBLA</v>
      </c>
      <c r="B3" s="75" t="s">
        <v>15</v>
      </c>
      <c r="C3" s="75" t="str">
        <f>'Avail List'!A12</f>
        <v>CAPSICUM GREEN</v>
      </c>
      <c r="D3" s="77" t="str">
        <f>'Avail List'!B12</f>
        <v>BX</v>
      </c>
      <c r="E3" s="77" t="str">
        <f>'Avail List'!C12</f>
        <v>5KG</v>
      </c>
      <c r="F3" s="75" t="str">
        <f>'Avail List'!D12</f>
        <v xml:space="preserve">ISIS RIVER </v>
      </c>
      <c r="I3" s="78">
        <f>'Avail List'!I12</f>
        <v>39</v>
      </c>
      <c r="J3" s="75" t="str">
        <f>'Avail List'!J12</f>
        <v>**SPECIAL**</v>
      </c>
      <c r="K3" s="76" t="s">
        <v>885</v>
      </c>
    </row>
    <row r="4" spans="1:11" x14ac:dyDescent="0.25">
      <c r="A4" s="76" t="str">
        <f>'Avail List'!E13</f>
        <v>CARPBEN</v>
      </c>
      <c r="B4" s="75" t="s">
        <v>15</v>
      </c>
      <c r="C4" s="75" t="str">
        <f>'Avail List'!A13</f>
        <v>CARROT PURPLE</v>
      </c>
      <c r="D4" s="77" t="str">
        <f>'Avail List'!B13</f>
        <v>BX</v>
      </c>
      <c r="E4" s="77" t="str">
        <f>'Avail List'!C13</f>
        <v>5KG</v>
      </c>
      <c r="F4" s="75" t="str">
        <f>'Avail List'!D13</f>
        <v>BIOFARMS</v>
      </c>
      <c r="I4" s="78">
        <f>'Avail List'!I13</f>
        <v>24</v>
      </c>
      <c r="J4" s="75" t="str">
        <f>'Avail List'!J13</f>
        <v>**SPECIAL**</v>
      </c>
      <c r="K4" s="76" t="s">
        <v>886</v>
      </c>
    </row>
    <row r="5" spans="1:11" x14ac:dyDescent="0.25">
      <c r="A5" s="76" t="str">
        <f>'Avail List'!E14</f>
        <v>PARBAU</v>
      </c>
      <c r="B5" s="75" t="s">
        <v>15</v>
      </c>
      <c r="C5" s="75" t="str">
        <f>'Avail List'!A14</f>
        <v>PARSNIP</v>
      </c>
      <c r="D5" s="77" t="str">
        <f>'Avail List'!B14</f>
        <v xml:space="preserve">BX  </v>
      </c>
      <c r="E5" s="77" t="str">
        <f>'Avail List'!C14</f>
        <v>8KG</v>
      </c>
      <c r="F5" s="75" t="str">
        <f>'Avail List'!D14</f>
        <v>BAUERS</v>
      </c>
      <c r="I5" s="78">
        <f>'Avail List'!I14</f>
        <v>47</v>
      </c>
      <c r="J5" s="75" t="str">
        <f>'Avail List'!J14</f>
        <v>**NEW LINE - SPECIAL**</v>
      </c>
      <c r="K5" s="76" t="s">
        <v>887</v>
      </c>
    </row>
    <row r="6" spans="1:11" x14ac:dyDescent="0.25">
      <c r="A6" s="76" t="str">
        <f>'Avail List'!E15</f>
        <v>POTWSSPR</v>
      </c>
      <c r="B6" s="75" t="s">
        <v>15</v>
      </c>
      <c r="C6" s="75" t="str">
        <f>'Avail List'!A15</f>
        <v>POTATO WHITE STAR SEBAGO</v>
      </c>
      <c r="D6" s="77" t="str">
        <f>'Avail List'!B15</f>
        <v>BX</v>
      </c>
      <c r="E6" s="77" t="str">
        <f>'Avail List'!C15</f>
        <v>15KG</v>
      </c>
      <c r="F6" s="75" t="str">
        <f>'Avail List'!D15</f>
        <v>SPRING LAKES</v>
      </c>
      <c r="I6" s="78">
        <f>'Avail List'!I15</f>
        <v>53</v>
      </c>
      <c r="J6" s="75" t="str">
        <f>'Avail List'!J15</f>
        <v>**SPECIAL**</v>
      </c>
      <c r="K6" s="76" t="s">
        <v>888</v>
      </c>
    </row>
    <row r="7" spans="1:11" x14ac:dyDescent="0.25">
      <c r="A7" s="76" t="str">
        <f>'Avail List'!E16</f>
        <v>POT15WEG POT15LOC</v>
      </c>
      <c r="B7" s="75" t="s">
        <v>15</v>
      </c>
      <c r="C7" s="75" t="str">
        <f>'Avail List'!A16</f>
        <v xml:space="preserve">POTATO SEBAGO </v>
      </c>
      <c r="D7" s="77" t="str">
        <f>'Avail List'!B16</f>
        <v>BX</v>
      </c>
      <c r="E7" s="77" t="str">
        <f>'Avail List'!C16</f>
        <v>15KG</v>
      </c>
      <c r="F7" s="75" t="str">
        <f>'Avail List'!D16</f>
        <v>WEGNER LOCKYER</v>
      </c>
      <c r="I7" s="78">
        <f>'Avail List'!I16</f>
        <v>53</v>
      </c>
      <c r="J7" s="75" t="str">
        <f>'Avail List'!J16</f>
        <v>**SPECIAL**</v>
      </c>
      <c r="K7" s="76" t="s">
        <v>889</v>
      </c>
    </row>
    <row r="8" spans="1:11" x14ac:dyDescent="0.25">
      <c r="A8" s="76" t="str">
        <f>'Avail List'!E17</f>
        <v>TOMCSPR</v>
      </c>
      <c r="B8" s="75" t="s">
        <v>15</v>
      </c>
      <c r="C8" s="75" t="str">
        <f>'Avail List'!A17</f>
        <v>TOMATO CHERRY 200G</v>
      </c>
      <c r="D8" s="77" t="str">
        <f>'Avail List'!B17</f>
        <v xml:space="preserve">EA </v>
      </c>
      <c r="E8" s="77" t="str">
        <f>'Avail List'!C17</f>
        <v xml:space="preserve">1PT </v>
      </c>
      <c r="F8" s="75" t="str">
        <f>'Avail List'!D17</f>
        <v>SPRING LAKES</v>
      </c>
      <c r="I8" s="78">
        <f>'Avail List'!I17</f>
        <v>3.3</v>
      </c>
      <c r="J8" s="75" t="str">
        <f>'Avail List'!J17</f>
        <v>**SPECIAL**</v>
      </c>
      <c r="K8" s="76" t="s">
        <v>890</v>
      </c>
    </row>
    <row r="9" spans="1:11" x14ac:dyDescent="0.25">
      <c r="A9" s="76" t="str">
        <f>'Avail List'!E18</f>
        <v>TUMBEL TUMNIC</v>
      </c>
      <c r="B9" s="75" t="s">
        <v>15</v>
      </c>
      <c r="C9" s="75" t="str">
        <f>'Avail List'!A18</f>
        <v>TURMERIC</v>
      </c>
      <c r="D9" s="77" t="str">
        <f>'Avail List'!B18</f>
        <v>KG</v>
      </c>
      <c r="E9" s="77" t="str">
        <f>'Avail List'!C18</f>
        <v>PER KG</v>
      </c>
      <c r="F9" s="75" t="str">
        <f>'Avail List'!D18</f>
        <v>BELLBIRD NICOLSON</v>
      </c>
      <c r="I9" s="78">
        <f>'Avail List'!I18</f>
        <v>23</v>
      </c>
      <c r="J9" s="75" t="str">
        <f>'Avail List'!J18</f>
        <v>**SPECIAL**</v>
      </c>
      <c r="K9" s="76" t="s">
        <v>891</v>
      </c>
    </row>
    <row r="10" spans="1:11" x14ac:dyDescent="0.25">
      <c r="A10" s="76" t="str">
        <f>'Avail List'!E19</f>
        <v>GROCERY SPECIALS</v>
      </c>
      <c r="B10" s="75" t="s">
        <v>15</v>
      </c>
      <c r="C10" s="75">
        <f>'Avail List'!A19</f>
        <v>0</v>
      </c>
      <c r="D10" s="77">
        <f>'Avail List'!B19</f>
        <v>0</v>
      </c>
      <c r="E10" s="77">
        <f>'Avail List'!C19</f>
        <v>0</v>
      </c>
      <c r="F10" s="75">
        <f>'Avail List'!D19</f>
        <v>0</v>
      </c>
      <c r="I10" s="78">
        <f>'Avail List'!I19</f>
        <v>0</v>
      </c>
      <c r="J10" s="75">
        <f>'Avail List'!J19</f>
        <v>0</v>
      </c>
      <c r="K10" s="76" t="s">
        <v>892</v>
      </c>
    </row>
    <row r="11" spans="1:11" x14ac:dyDescent="0.25">
      <c r="A11" s="76" t="str">
        <f>'Avail List'!E20</f>
        <v>CODE</v>
      </c>
      <c r="B11" s="75" t="s">
        <v>15</v>
      </c>
      <c r="C11" s="75" t="str">
        <f>'Avail List'!A20</f>
        <v>PRODUCT</v>
      </c>
      <c r="D11" s="77" t="str">
        <f>'Avail List'!B20</f>
        <v>SIZE</v>
      </c>
      <c r="E11" s="77">
        <f>'Avail List'!C20</f>
        <v>0</v>
      </c>
      <c r="F11" s="75" t="str">
        <f>'Avail List'!D20</f>
        <v>GROWER</v>
      </c>
      <c r="I11" s="78" t="str">
        <f>'Avail List'!I20</f>
        <v>PRICE</v>
      </c>
      <c r="J11" s="75" t="str">
        <f>'Avail List'!J20</f>
        <v xml:space="preserve">Multi Buy Price or Product Info </v>
      </c>
      <c r="K11" s="76" t="s">
        <v>893</v>
      </c>
    </row>
    <row r="12" spans="1:11" x14ac:dyDescent="0.25">
      <c r="A12" s="76" t="str">
        <f>'Avail List'!E21</f>
        <v>01200648</v>
      </c>
      <c r="B12" s="75" t="s">
        <v>15</v>
      </c>
      <c r="C12" s="75" t="str">
        <f>'Avail List'!A21</f>
        <v>COCONUT MILK LEMONGRASS &amp; GINGER CURRY 400G</v>
      </c>
      <c r="D12" s="77" t="str">
        <f>'Avail List'!B21</f>
        <v>BX6</v>
      </c>
      <c r="E12" s="77" t="str">
        <f>'Avail List'!C21</f>
        <v>400G</v>
      </c>
      <c r="F12" s="75" t="str">
        <f>'Avail List'!D21</f>
        <v>BLISSFUL ORGANIC</v>
      </c>
      <c r="I12" s="78">
        <f>'Avail List'!I21</f>
        <v>22.5</v>
      </c>
      <c r="J12" s="75" t="str">
        <f>'Avail List'!J21</f>
        <v>**SPECIAL**</v>
      </c>
      <c r="K12" s="76" t="s">
        <v>894</v>
      </c>
    </row>
    <row r="13" spans="1:11" x14ac:dyDescent="0.25">
      <c r="A13" s="76" t="str">
        <f>'Avail List'!E22</f>
        <v>01200649</v>
      </c>
      <c r="B13" s="75" t="s">
        <v>15</v>
      </c>
      <c r="C13" s="75" t="str">
        <f>'Avail List'!A22</f>
        <v>COCONUT MILK YELLOW CURRY 400G</v>
      </c>
      <c r="D13" s="77" t="str">
        <f>'Avail List'!B22</f>
        <v>BX6</v>
      </c>
      <c r="E13" s="77" t="str">
        <f>'Avail List'!C22</f>
        <v>400G</v>
      </c>
      <c r="F13" s="75" t="str">
        <f>'Avail List'!D22</f>
        <v>BLISSFUL ORGANIC</v>
      </c>
      <c r="I13" s="78">
        <f>'Avail List'!I22</f>
        <v>22.5</v>
      </c>
      <c r="J13" s="75" t="str">
        <f>'Avail List'!J22</f>
        <v>**SPECIAL**</v>
      </c>
      <c r="K13" s="76" t="s">
        <v>895</v>
      </c>
    </row>
    <row r="14" spans="1:11" x14ac:dyDescent="0.25">
      <c r="A14" s="76" t="str">
        <f>'Avail List'!E23</f>
        <v>01200650</v>
      </c>
      <c r="B14" s="75" t="s">
        <v>15</v>
      </c>
      <c r="C14" s="75" t="str">
        <f>'Avail List'!A23</f>
        <v>COCONUT MILK GREEN CURRY 400G</v>
      </c>
      <c r="D14" s="77" t="str">
        <f>'Avail List'!B23</f>
        <v>BX6</v>
      </c>
      <c r="E14" s="77" t="str">
        <f>'Avail List'!C23</f>
        <v>400G</v>
      </c>
      <c r="F14" s="75" t="str">
        <f>'Avail List'!D23</f>
        <v>BLISSFUL ORGANIC</v>
      </c>
      <c r="I14" s="78">
        <f>'Avail List'!I23</f>
        <v>22.5</v>
      </c>
      <c r="J14" s="75" t="str">
        <f>'Avail List'!J23</f>
        <v>**SPECIAL**</v>
      </c>
      <c r="K14" s="76" t="s">
        <v>896</v>
      </c>
    </row>
    <row r="15" spans="1:11" x14ac:dyDescent="0.25">
      <c r="A15" s="76" t="str">
        <f>'Avail List'!E24</f>
        <v>01200651</v>
      </c>
      <c r="B15" s="75" t="s">
        <v>15</v>
      </c>
      <c r="C15" s="75" t="str">
        <f>'Avail List'!A24</f>
        <v>COCONUT MILK RED CURRY 400G</v>
      </c>
      <c r="D15" s="77" t="str">
        <f>'Avail List'!B24</f>
        <v>BX6</v>
      </c>
      <c r="E15" s="77" t="str">
        <f>'Avail List'!C24</f>
        <v>400G</v>
      </c>
      <c r="F15" s="75" t="str">
        <f>'Avail List'!D24</f>
        <v>BLISSFUL ORGANIC</v>
      </c>
      <c r="I15" s="78">
        <f>'Avail List'!I24</f>
        <v>22.5</v>
      </c>
      <c r="J15" s="75" t="str">
        <f>'Avail List'!J24</f>
        <v>**SPECIAL**</v>
      </c>
      <c r="K15" s="76" t="s">
        <v>897</v>
      </c>
    </row>
    <row r="16" spans="1:11" x14ac:dyDescent="0.25">
      <c r="A16" s="76" t="str">
        <f>'Avail List'!E25</f>
        <v>VEGETABLES</v>
      </c>
      <c r="B16" s="75" t="s">
        <v>15</v>
      </c>
      <c r="C16" s="75">
        <f>'Avail List'!A25</f>
        <v>0</v>
      </c>
      <c r="D16" s="77">
        <f>'Avail List'!B25</f>
        <v>0</v>
      </c>
      <c r="E16" s="77">
        <f>'Avail List'!C25</f>
        <v>0</v>
      </c>
      <c r="F16" s="75">
        <f>'Avail List'!D25</f>
        <v>0</v>
      </c>
      <c r="I16" s="78">
        <f>'Avail List'!I25</f>
        <v>0</v>
      </c>
      <c r="J16" s="75">
        <f>'Avail List'!J25</f>
        <v>0</v>
      </c>
      <c r="K16" s="76" t="s">
        <v>898</v>
      </c>
    </row>
    <row r="17" spans="1:11" x14ac:dyDescent="0.25">
      <c r="A17" s="76" t="str">
        <f>'Avail List'!E26</f>
        <v>CODE</v>
      </c>
      <c r="B17" s="75" t="s">
        <v>15</v>
      </c>
      <c r="C17" s="75" t="str">
        <f>'Avail List'!A26</f>
        <v>PRODUCT</v>
      </c>
      <c r="D17" s="77" t="str">
        <f>'Avail List'!B26</f>
        <v>SIZE</v>
      </c>
      <c r="E17" s="77">
        <f>'Avail List'!C26</f>
        <v>0</v>
      </c>
      <c r="F17" s="75" t="str">
        <f>'Avail List'!D26</f>
        <v>GROWER</v>
      </c>
      <c r="I17" s="78" t="str">
        <f>'Avail List'!I26</f>
        <v>PRICE</v>
      </c>
      <c r="J17" s="75" t="str">
        <f>'Avail List'!J26</f>
        <v xml:space="preserve">Multi Buy Price or Product Info </v>
      </c>
      <c r="K17" s="76" t="s">
        <v>899</v>
      </c>
    </row>
    <row r="18" spans="1:11" x14ac:dyDescent="0.25">
      <c r="A18" s="76" t="str">
        <f>'Avail List'!E27</f>
        <v>ARTSTO</v>
      </c>
      <c r="B18" s="75" t="s">
        <v>15</v>
      </c>
      <c r="C18" s="75" t="str">
        <f>'Avail List'!A27</f>
        <v>ARTICHOKE JERUSALEM</v>
      </c>
      <c r="D18" s="77" t="str">
        <f>'Avail List'!B27</f>
        <v>KG</v>
      </c>
      <c r="E18" s="77" t="str">
        <f>'Avail List'!C27</f>
        <v>PER KG</v>
      </c>
      <c r="F18" s="75" t="str">
        <f>'Avail List'!D27</f>
        <v>STORMVIEW</v>
      </c>
      <c r="I18" s="78">
        <f>'Avail List'!I27</f>
        <v>20</v>
      </c>
      <c r="J18" s="75">
        <f>'Avail List'!J27</f>
        <v>0</v>
      </c>
      <c r="K18" s="76" t="s">
        <v>900</v>
      </c>
    </row>
    <row r="19" spans="1:11" x14ac:dyDescent="0.25">
      <c r="A19" s="76" t="str">
        <f>'Avail List'!E28</f>
        <v>CBOKCOO CBOKCRE CBOKLUN</v>
      </c>
      <c r="B19" s="75" t="s">
        <v>15</v>
      </c>
      <c r="C19" s="75" t="str">
        <f>'Avail List'!A28</f>
        <v>ASIAN GREENS BOK CHOY</v>
      </c>
      <c r="D19" s="77" t="str">
        <f>'Avail List'!B28</f>
        <v>EA</v>
      </c>
      <c r="E19" s="77" t="str">
        <f>'Avail List'!C28</f>
        <v xml:space="preserve">1BN  </v>
      </c>
      <c r="F19" s="75" t="str">
        <f>'Avail List'!D28</f>
        <v>COOLIBAH CREMONA LUNAR</v>
      </c>
      <c r="I19" s="78">
        <f>'Avail List'!I28</f>
        <v>3</v>
      </c>
      <c r="J19" s="75" t="str">
        <f>'Avail List'!J28</f>
        <v>10+ @ $2.80BN</v>
      </c>
      <c r="K19" s="76" t="s">
        <v>901</v>
      </c>
    </row>
    <row r="20" spans="1:11" x14ac:dyDescent="0.25">
      <c r="A20" s="76" t="str">
        <f>'Avail List'!E29</f>
        <v>CPAKPEN CPAKCRE CPAKLUN CPAKCOO</v>
      </c>
      <c r="B20" s="75" t="s">
        <v>15</v>
      </c>
      <c r="C20" s="75" t="str">
        <f>'Avail List'!A29</f>
        <v>ASIAN GREENS PAK CHOY</v>
      </c>
      <c r="D20" s="77" t="str">
        <f>'Avail List'!B29</f>
        <v>EA</v>
      </c>
      <c r="E20" s="77" t="str">
        <f>'Avail List'!C29</f>
        <v xml:space="preserve">1BN  </v>
      </c>
      <c r="F20" s="75" t="str">
        <f>'Avail List'!D29</f>
        <v>PENINSULA COOLIBAH LUNAR</v>
      </c>
      <c r="I20" s="78">
        <f>'Avail List'!I29</f>
        <v>3</v>
      </c>
      <c r="J20" s="75" t="str">
        <f>'Avail List'!J29</f>
        <v>10+ @ $2.80BN</v>
      </c>
      <c r="K20" s="76" t="s">
        <v>902</v>
      </c>
    </row>
    <row r="21" spans="1:11" x14ac:dyDescent="0.25">
      <c r="A21" s="76" t="str">
        <f>'Avail List'!E30</f>
        <v>BEAMAH</v>
      </c>
      <c r="B21" s="75" t="s">
        <v>15</v>
      </c>
      <c r="C21" s="75" t="str">
        <f>'Avail List'!A30</f>
        <v>BEANS HAND PICKED</v>
      </c>
      <c r="D21" s="77" t="str">
        <f>'Avail List'!B30</f>
        <v>KG</v>
      </c>
      <c r="E21" s="77" t="str">
        <f>'Avail List'!C30</f>
        <v>PER KG</v>
      </c>
      <c r="F21" s="75" t="str">
        <f>'Avail List'!D30</f>
        <v>MAHAFFEY</v>
      </c>
      <c r="I21" s="78">
        <f>'Avail List'!I30</f>
        <v>13.5</v>
      </c>
      <c r="J21" s="75" t="str">
        <f>'Avail List'!J30</f>
        <v>5KG+ @ $13 KG</v>
      </c>
      <c r="K21" s="76" t="s">
        <v>903</v>
      </c>
    </row>
    <row r="22" spans="1:11" x14ac:dyDescent="0.25">
      <c r="A22" s="76" t="str">
        <f>'Avail List'!E31</f>
        <v>BEAKAL</v>
      </c>
      <c r="B22" s="75" t="s">
        <v>15</v>
      </c>
      <c r="C22" s="75" t="str">
        <f>'Avail List'!A31</f>
        <v>BEANS MACHINE PICKED</v>
      </c>
      <c r="D22" s="77" t="str">
        <f>'Avail List'!B31</f>
        <v>KG</v>
      </c>
      <c r="E22" s="77" t="str">
        <f>'Avail List'!C31</f>
        <v>PER KG</v>
      </c>
      <c r="F22" s="75" t="str">
        <f>'Avail List'!D31</f>
        <v>KALFRESH</v>
      </c>
      <c r="I22" s="78">
        <f>'Avail List'!I31</f>
        <v>8.8000000000000007</v>
      </c>
      <c r="J22" s="75" t="str">
        <f>'Avail List'!J31</f>
        <v>5KG+ @ $8.40 KG</v>
      </c>
      <c r="K22" s="76" t="s">
        <v>904</v>
      </c>
    </row>
    <row r="23" spans="1:11" x14ac:dyDescent="0.25">
      <c r="A23" s="76" t="str">
        <f>'Avail List'!E32</f>
        <v>BEEXARA BEEXBUS</v>
      </c>
      <c r="B23" s="75" t="s">
        <v>15</v>
      </c>
      <c r="C23" s="75" t="str">
        <f>'Avail List'!A32</f>
        <v>BEETROOT MEDIUM</v>
      </c>
      <c r="D23" s="77" t="str">
        <f>'Avail List'!B32</f>
        <v>BG</v>
      </c>
      <c r="E23" s="77" t="str">
        <f>'Avail List'!C32</f>
        <v>10KG</v>
      </c>
      <c r="F23" s="75" t="str">
        <f>'Avail List'!D32</f>
        <v>ARAHURA BUSCH</v>
      </c>
      <c r="I23" s="78">
        <f>'Avail List'!I32</f>
        <v>28</v>
      </c>
      <c r="J23" s="75">
        <f>'Avail List'!J32</f>
        <v>0</v>
      </c>
      <c r="K23" s="76" t="s">
        <v>905</v>
      </c>
    </row>
    <row r="24" spans="1:11" x14ac:dyDescent="0.25">
      <c r="A24" s="76" t="str">
        <f>'Avail List'!E33</f>
        <v>BEELBAU</v>
      </c>
      <c r="B24" s="75" t="s">
        <v>15</v>
      </c>
      <c r="C24" s="75" t="str">
        <f>'Avail List'!A33</f>
        <v>BEETROOT LARGE</v>
      </c>
      <c r="D24" s="77" t="str">
        <f>'Avail List'!B33</f>
        <v>BG</v>
      </c>
      <c r="E24" s="77" t="str">
        <f>'Avail List'!C33</f>
        <v>10KG</v>
      </c>
      <c r="F24" s="75" t="str">
        <f>'Avail List'!D33</f>
        <v>BAUER</v>
      </c>
      <c r="I24" s="78">
        <f>'Avail List'!I33</f>
        <v>30</v>
      </c>
      <c r="J24" s="75">
        <f>'Avail List'!J33</f>
        <v>0</v>
      </c>
      <c r="K24" s="76" t="s">
        <v>906</v>
      </c>
    </row>
    <row r="25" spans="1:11" x14ac:dyDescent="0.25">
      <c r="A25" s="76" t="str">
        <f>'Avail List'!E34</f>
        <v>BEE2BEN</v>
      </c>
      <c r="B25" s="75" t="s">
        <v>15</v>
      </c>
      <c r="C25" s="75" t="str">
        <f>'Avail List'!A34</f>
        <v>BEETROOT PROCESSING</v>
      </c>
      <c r="D25" s="77" t="str">
        <f>'Avail List'!B34</f>
        <v>BG</v>
      </c>
      <c r="E25" s="77" t="str">
        <f>'Avail List'!C34</f>
        <v>10KG</v>
      </c>
      <c r="F25" s="75" t="str">
        <f>'Avail List'!D34</f>
        <v>BIOFARMS</v>
      </c>
      <c r="I25" s="78">
        <f>'Avail List'!I34</f>
        <v>26</v>
      </c>
      <c r="J25" s="75">
        <f>'Avail List'!J34</f>
        <v>0</v>
      </c>
      <c r="K25" s="76" t="s">
        <v>907</v>
      </c>
    </row>
    <row r="26" spans="1:11" x14ac:dyDescent="0.25">
      <c r="A26" s="76" t="str">
        <f>'Avail List'!E35</f>
        <v>BEESBEN</v>
      </c>
      <c r="B26" s="75" t="s">
        <v>15</v>
      </c>
      <c r="C26" s="75" t="str">
        <f>'Avail List'!A35</f>
        <v>BEETROOT SMALL</v>
      </c>
      <c r="D26" s="77" t="str">
        <f>'Avail List'!B35</f>
        <v>BG</v>
      </c>
      <c r="E26" s="77" t="str">
        <f>'Avail List'!C35</f>
        <v>10KG</v>
      </c>
      <c r="F26" s="75" t="str">
        <f>'Avail List'!D35</f>
        <v>BIOFARMS</v>
      </c>
      <c r="I26" s="78">
        <f>'Avail List'!I35</f>
        <v>22</v>
      </c>
      <c r="J26" s="75">
        <f>'Avail List'!J35</f>
        <v>0</v>
      </c>
      <c r="K26" s="76" t="s">
        <v>908</v>
      </c>
    </row>
    <row r="27" spans="1:11" x14ac:dyDescent="0.25">
      <c r="A27" s="76" t="str">
        <f>'Avail List'!E36</f>
        <v>BEEBCOO</v>
      </c>
      <c r="B27" s="75" t="s">
        <v>15</v>
      </c>
      <c r="C27" s="75" t="str">
        <f>'Avail List'!A36</f>
        <v>BEETROOT BUNCH</v>
      </c>
      <c r="D27" s="77" t="str">
        <f>'Avail List'!B36</f>
        <v>EA</v>
      </c>
      <c r="E27" s="77" t="str">
        <f>'Avail List'!C36</f>
        <v xml:space="preserve">1BN  </v>
      </c>
      <c r="F27" s="75" t="str">
        <f>'Avail List'!D36</f>
        <v>COOLIBAH</v>
      </c>
      <c r="I27" s="78">
        <f>'Avail List'!I36</f>
        <v>4.5</v>
      </c>
      <c r="J27" s="75">
        <f>'Avail List'!J36</f>
        <v>0</v>
      </c>
      <c r="K27" s="76" t="s">
        <v>909</v>
      </c>
    </row>
    <row r="28" spans="1:11" x14ac:dyDescent="0.25">
      <c r="A28" s="76" t="str">
        <f>'Avail List'!E37</f>
        <v>BEELOVE</v>
      </c>
      <c r="B28" s="75" t="s">
        <v>15</v>
      </c>
      <c r="C28" s="75" t="str">
        <f>'Avail List'!A37</f>
        <v>BEETROOT PEELED &amp; COOKED 250G</v>
      </c>
      <c r="D28" s="77" t="str">
        <f>'Avail List'!B37</f>
        <v>EA</v>
      </c>
      <c r="E28" s="77" t="str">
        <f>'Avail List'!C37</f>
        <v xml:space="preserve">1EA  </v>
      </c>
      <c r="F28" s="75" t="str">
        <f>'Avail List'!D37</f>
        <v>LOVE BEETS</v>
      </c>
      <c r="I28" s="78">
        <f>'Avail List'!I37</f>
        <v>4</v>
      </c>
      <c r="J28" s="75" t="str">
        <f>'Avail List'!J37</f>
        <v>24+ @ $3.80EA</v>
      </c>
      <c r="K28" s="76" t="s">
        <v>910</v>
      </c>
    </row>
    <row r="29" spans="1:11" x14ac:dyDescent="0.25">
      <c r="A29" s="76" t="str">
        <f>'Avail List'!E38</f>
        <v>BROHAR BROBLC</v>
      </c>
      <c r="B29" s="75" t="s">
        <v>15</v>
      </c>
      <c r="C29" s="75" t="str">
        <f>'Avail List'!A38</f>
        <v>BROCCOLI 8KG</v>
      </c>
      <c r="D29" s="77" t="str">
        <f>'Avail List'!B38</f>
        <v>BX</v>
      </c>
      <c r="E29" s="77" t="str">
        <f>'Avail List'!C38</f>
        <v>8KG</v>
      </c>
      <c r="F29" s="75" t="str">
        <f>'Avail List'!D38</f>
        <v>MTWHITESTONE BLACK CROW</v>
      </c>
      <c r="I29" s="78">
        <f>'Avail List'!I38</f>
        <v>92</v>
      </c>
      <c r="J29" s="75" t="str">
        <f>'Avail List'!J38</f>
        <v>LIMITED</v>
      </c>
      <c r="K29" s="76" t="s">
        <v>911</v>
      </c>
    </row>
    <row r="30" spans="1:11" x14ac:dyDescent="0.25">
      <c r="A30" s="76" t="str">
        <f>'Avail List'!E39</f>
        <v>BROBPPEN</v>
      </c>
      <c r="B30" s="75" t="s">
        <v>15</v>
      </c>
      <c r="C30" s="75" t="str">
        <f>'Avail List'!A39</f>
        <v>BROCCOLI BABY PURPLE</v>
      </c>
      <c r="D30" s="77" t="str">
        <f>'Avail List'!B39</f>
        <v>BX</v>
      </c>
      <c r="E30" s="77" t="str">
        <f>'Avail List'!C39</f>
        <v>12BN</v>
      </c>
      <c r="F30" s="75" t="str">
        <f>'Avail List'!D39</f>
        <v>PENINSULA</v>
      </c>
      <c r="I30" s="78">
        <f>'Avail List'!I39</f>
        <v>50</v>
      </c>
      <c r="J30" s="75">
        <f>'Avail List'!J39</f>
        <v>0</v>
      </c>
      <c r="K30" s="76" t="s">
        <v>912</v>
      </c>
    </row>
    <row r="31" spans="1:11" x14ac:dyDescent="0.25">
      <c r="A31" s="76" t="str">
        <f>'Avail List'!E40</f>
        <v xml:space="preserve">CABHAR CABSUT </v>
      </c>
      <c r="B31" s="75" t="s">
        <v>15</v>
      </c>
      <c r="C31" s="75" t="str">
        <f>'Avail List'!A40</f>
        <v xml:space="preserve">CABBAGE GREEN </v>
      </c>
      <c r="D31" s="77" t="str">
        <f>'Avail List'!B40</f>
        <v>EA</v>
      </c>
      <c r="E31" s="77" t="str">
        <f>'Avail List'!C40</f>
        <v xml:space="preserve">1EA  </v>
      </c>
      <c r="F31" s="75" t="str">
        <f>'Avail List'!D40</f>
        <v>MTWHITESTONE FORDSDALE</v>
      </c>
      <c r="I31" s="78">
        <f>'Avail List'!I40</f>
        <v>5.3</v>
      </c>
      <c r="J31" s="75" t="str">
        <f>'Avail List'!J40</f>
        <v>12+ @ $5 EA</v>
      </c>
      <c r="K31" s="76" t="s">
        <v>913</v>
      </c>
    </row>
    <row r="32" spans="1:11" x14ac:dyDescent="0.25">
      <c r="A32" s="76" t="str">
        <f>'Avail List'!E41</f>
        <v xml:space="preserve">CABRHAR </v>
      </c>
      <c r="B32" s="75" t="s">
        <v>15</v>
      </c>
      <c r="C32" s="75" t="str">
        <f>'Avail List'!A41</f>
        <v>CABBAGE RED</v>
      </c>
      <c r="D32" s="77" t="str">
        <f>'Avail List'!B41</f>
        <v>EA</v>
      </c>
      <c r="E32" s="77" t="str">
        <f>'Avail List'!C41</f>
        <v xml:space="preserve">1EA  </v>
      </c>
      <c r="F32" s="75" t="str">
        <f>'Avail List'!D41</f>
        <v xml:space="preserve">MTWHITESTONE </v>
      </c>
      <c r="I32" s="78">
        <f>'Avail List'!I41</f>
        <v>5.3</v>
      </c>
      <c r="J32" s="75" t="str">
        <f>'Avail List'!J41</f>
        <v>12+ @ $5 EA</v>
      </c>
      <c r="K32" s="76" t="s">
        <v>914</v>
      </c>
    </row>
    <row r="33" spans="1:11" x14ac:dyDescent="0.25">
      <c r="A33" s="76" t="str">
        <f>'Avail List'!E42</f>
        <v>CABCBAU</v>
      </c>
      <c r="B33" s="75" t="s">
        <v>15</v>
      </c>
      <c r="C33" s="75" t="str">
        <f>'Avail List'!A42</f>
        <v>CABBAGE WOMBOK</v>
      </c>
      <c r="D33" s="77" t="str">
        <f>'Avail List'!B42</f>
        <v>EA</v>
      </c>
      <c r="E33" s="77" t="str">
        <f>'Avail List'!C42</f>
        <v>1EA</v>
      </c>
      <c r="F33" s="75" t="str">
        <f>'Avail List'!D42</f>
        <v>BAUER</v>
      </c>
      <c r="I33" s="78">
        <f>'Avail List'!I42</f>
        <v>5.8</v>
      </c>
      <c r="J33" s="75" t="str">
        <f>'Avail List'!J42</f>
        <v>6+ @ $5.50</v>
      </c>
      <c r="K33" s="76" t="s">
        <v>915</v>
      </c>
    </row>
    <row r="34" spans="1:11" x14ac:dyDescent="0.25">
      <c r="A34" s="76" t="str">
        <f>'Avail List'!E43</f>
        <v>CAPBLA</v>
      </c>
      <c r="B34" s="75" t="s">
        <v>15</v>
      </c>
      <c r="C34" s="75" t="str">
        <f>'Avail List'!A43</f>
        <v>CAPSICUM GREEN</v>
      </c>
      <c r="D34" s="77" t="str">
        <f>'Avail List'!B43</f>
        <v>BX</v>
      </c>
      <c r="E34" s="77" t="str">
        <f>'Avail List'!C43</f>
        <v>5KG</v>
      </c>
      <c r="F34" s="75" t="str">
        <f>'Avail List'!D43</f>
        <v xml:space="preserve">ISIS RIVER </v>
      </c>
      <c r="I34" s="78">
        <f>'Avail List'!I43</f>
        <v>39</v>
      </c>
      <c r="J34" s="75" t="str">
        <f>'Avail List'!J43</f>
        <v>**SPECIAL**</v>
      </c>
      <c r="K34" s="76" t="s">
        <v>916</v>
      </c>
    </row>
    <row r="35" spans="1:11" x14ac:dyDescent="0.25">
      <c r="A35" s="76" t="str">
        <f>'Avail List'!E44</f>
        <v>CAPCBLA</v>
      </c>
      <c r="B35" s="75" t="s">
        <v>15</v>
      </c>
      <c r="C35" s="75" t="str">
        <f>'Avail List'!A44</f>
        <v>CAPSICUM COLOURED</v>
      </c>
      <c r="D35" s="77" t="str">
        <f>'Avail List'!B44</f>
        <v>BX</v>
      </c>
      <c r="E35" s="77" t="str">
        <f>'Avail List'!C44</f>
        <v>5KG</v>
      </c>
      <c r="F35" s="75" t="str">
        <f>'Avail List'!D44</f>
        <v xml:space="preserve">ISIS RIVER </v>
      </c>
      <c r="I35" s="78">
        <f>'Avail List'!I44</f>
        <v>67</v>
      </c>
      <c r="J35" s="75">
        <f>'Avail List'!J44</f>
        <v>0</v>
      </c>
      <c r="K35" s="76" t="s">
        <v>917</v>
      </c>
    </row>
    <row r="36" spans="1:11" x14ac:dyDescent="0.25">
      <c r="A36" s="76" t="str">
        <f>'Avail List'!E45</f>
        <v>CAPRPIT</v>
      </c>
      <c r="B36" s="75" t="s">
        <v>15</v>
      </c>
      <c r="C36" s="75" t="str">
        <f>'Avail List'!A45</f>
        <v>CAPSICUM RED</v>
      </c>
      <c r="D36" s="77" t="str">
        <f>'Avail List'!B45</f>
        <v>BX</v>
      </c>
      <c r="E36" s="77" t="str">
        <f>'Avail List'!C45</f>
        <v>5KG</v>
      </c>
      <c r="F36" s="75" t="str">
        <f>'Avail List'!D45</f>
        <v>MOORLAND</v>
      </c>
      <c r="I36" s="78">
        <f>'Avail List'!I45</f>
        <v>95</v>
      </c>
      <c r="J36" s="75">
        <f>'Avail List'!J45</f>
        <v>0</v>
      </c>
      <c r="K36" s="76" t="s">
        <v>918</v>
      </c>
    </row>
    <row r="37" spans="1:11" x14ac:dyDescent="0.25">
      <c r="A37" s="76" t="str">
        <f>'Avail List'!E46</f>
        <v>CAPR2PIT</v>
      </c>
      <c r="B37" s="75" t="s">
        <v>15</v>
      </c>
      <c r="C37" s="75" t="str">
        <f>'Avail List'!A46</f>
        <v>CAPSICUM RED 2NDS</v>
      </c>
      <c r="D37" s="77" t="str">
        <f>'Avail List'!B46</f>
        <v>BX</v>
      </c>
      <c r="E37" s="77" t="str">
        <f>'Avail List'!C46</f>
        <v>5KG</v>
      </c>
      <c r="F37" s="75" t="str">
        <f>'Avail List'!D46</f>
        <v>MOORLAND</v>
      </c>
      <c r="I37" s="78">
        <f>'Avail List'!I46</f>
        <v>40</v>
      </c>
      <c r="J37" s="75">
        <f>'Avail List'!J46</f>
        <v>0</v>
      </c>
      <c r="K37" s="76" t="s">
        <v>919</v>
      </c>
    </row>
    <row r="38" spans="1:11" x14ac:dyDescent="0.25">
      <c r="A38" s="76" t="str">
        <f>'Avail List'!E47</f>
        <v>CAPRKAL</v>
      </c>
      <c r="B38" s="75" t="s">
        <v>15</v>
      </c>
      <c r="C38" s="75" t="str">
        <f>'Avail List'!A47</f>
        <v>CAPSICUM SNACKING MIX COLOUR</v>
      </c>
      <c r="D38" s="77" t="str">
        <f>'Avail List'!B47</f>
        <v>BX</v>
      </c>
      <c r="E38" s="77" t="str">
        <f>'Avail List'!C47</f>
        <v xml:space="preserve">3KG  </v>
      </c>
      <c r="F38" s="75" t="str">
        <f>'Avail List'!D47</f>
        <v>KALFRESH</v>
      </c>
      <c r="I38" s="78">
        <f>'Avail List'!I47</f>
        <v>54</v>
      </c>
      <c r="J38" s="75">
        <f>'Avail List'!J47</f>
        <v>0</v>
      </c>
      <c r="K38" s="76" t="s">
        <v>920</v>
      </c>
    </row>
    <row r="39" spans="1:11" x14ac:dyDescent="0.25">
      <c r="A39" s="76" t="str">
        <f>'Avail List'!E48</f>
        <v>CARDCOO</v>
      </c>
      <c r="B39" s="75" t="s">
        <v>15</v>
      </c>
      <c r="C39" s="75" t="str">
        <f>'Avail List'!A48</f>
        <v>CARROT BUNCH</v>
      </c>
      <c r="D39" s="77" t="str">
        <f>'Avail List'!B48</f>
        <v>EA</v>
      </c>
      <c r="E39" s="77" t="str">
        <f>'Avail List'!C48</f>
        <v xml:space="preserve">1BN  </v>
      </c>
      <c r="F39" s="75" t="str">
        <f>'Avail List'!D48</f>
        <v>COOLIBAH</v>
      </c>
      <c r="I39" s="78">
        <f>'Avail List'!I48</f>
        <v>4.7</v>
      </c>
      <c r="J39" s="75">
        <f>'Avail List'!J48</f>
        <v>0</v>
      </c>
      <c r="K39" s="76" t="s">
        <v>921</v>
      </c>
    </row>
    <row r="40" spans="1:11" x14ac:dyDescent="0.25">
      <c r="A40" s="76" t="str">
        <f>'Avail List'!E49</f>
        <v>CARPBEN</v>
      </c>
      <c r="B40" s="75" t="s">
        <v>15</v>
      </c>
      <c r="C40" s="75" t="str">
        <f>'Avail List'!A49</f>
        <v>CARROT PURPLE</v>
      </c>
      <c r="D40" s="77" t="str">
        <f>'Avail List'!B49</f>
        <v>BX</v>
      </c>
      <c r="E40" s="77" t="str">
        <f>'Avail List'!C49</f>
        <v>5KG</v>
      </c>
      <c r="F40" s="75" t="str">
        <f>'Avail List'!D49</f>
        <v>BIOFARMS</v>
      </c>
      <c r="I40" s="78">
        <f>'Avail List'!I49</f>
        <v>24</v>
      </c>
      <c r="J40" s="75" t="str">
        <f>'Avail List'!J49</f>
        <v>**SPECIAL**</v>
      </c>
      <c r="K40" s="76" t="s">
        <v>922</v>
      </c>
    </row>
    <row r="41" spans="1:11" x14ac:dyDescent="0.25">
      <c r="A41" s="76" t="str">
        <f>'Avail List'!E50</f>
        <v>CARYBAU</v>
      </c>
      <c r="B41" s="75" t="s">
        <v>15</v>
      </c>
      <c r="C41" s="75" t="str">
        <f>'Avail List'!A50</f>
        <v>CARROT YELLOW</v>
      </c>
      <c r="D41" s="77" t="str">
        <f>'Avail List'!B50</f>
        <v>BX</v>
      </c>
      <c r="E41" s="77" t="str">
        <f>'Avail List'!C50</f>
        <v>10KG</v>
      </c>
      <c r="F41" s="75" t="str">
        <f>'Avail List'!D50</f>
        <v>BAUERS</v>
      </c>
      <c r="I41" s="78">
        <f>'Avail List'!I50</f>
        <v>50</v>
      </c>
      <c r="J41" s="75">
        <f>'Avail List'!J50</f>
        <v>0</v>
      </c>
      <c r="K41" s="76" t="s">
        <v>923</v>
      </c>
    </row>
    <row r="42" spans="1:11" x14ac:dyDescent="0.25">
      <c r="A42" s="76" t="str">
        <f>'Avail List'!E51</f>
        <v>CARXLOC</v>
      </c>
      <c r="B42" s="75" t="s">
        <v>15</v>
      </c>
      <c r="C42" s="75" t="str">
        <f>'Avail List'!A51</f>
        <v xml:space="preserve">CARROT MEDIUM 15KG </v>
      </c>
      <c r="D42" s="77" t="str">
        <f>'Avail List'!B51</f>
        <v>BX</v>
      </c>
      <c r="E42" s="77" t="str">
        <f>'Avail List'!C51</f>
        <v xml:space="preserve">15KG  </v>
      </c>
      <c r="F42" s="75" t="str">
        <f>'Avail List'!D51</f>
        <v>LOCKYER</v>
      </c>
      <c r="I42" s="78">
        <f>'Avail List'!I51</f>
        <v>74</v>
      </c>
      <c r="J42" s="75">
        <f>'Avail List'!J51</f>
        <v>0</v>
      </c>
      <c r="K42" s="76" t="s">
        <v>924</v>
      </c>
    </row>
    <row r="43" spans="1:11" x14ac:dyDescent="0.25">
      <c r="A43" s="76" t="str">
        <f>'Avail List'!E52</f>
        <v>CARXBAU</v>
      </c>
      <c r="B43" s="75" t="s">
        <v>15</v>
      </c>
      <c r="C43" s="75" t="str">
        <f>'Avail List'!A52</f>
        <v xml:space="preserve">CARROT MEDIUM 18KG </v>
      </c>
      <c r="D43" s="77" t="str">
        <f>'Avail List'!B52</f>
        <v>BX</v>
      </c>
      <c r="E43" s="77" t="str">
        <f>'Avail List'!C52</f>
        <v>18KG</v>
      </c>
      <c r="F43" s="75" t="str">
        <f>'Avail List'!D52</f>
        <v>BAUER</v>
      </c>
      <c r="I43" s="78">
        <f>'Avail List'!I52</f>
        <v>80</v>
      </c>
      <c r="J43" s="75">
        <f>'Avail List'!J52</f>
        <v>0</v>
      </c>
      <c r="K43" s="76" t="s">
        <v>925</v>
      </c>
    </row>
    <row r="44" spans="1:11" x14ac:dyDescent="0.25">
      <c r="A44" s="76" t="str">
        <f>'Avail List'!E53</f>
        <v>CARXARA</v>
      </c>
      <c r="B44" s="75" t="s">
        <v>15</v>
      </c>
      <c r="C44" s="75" t="str">
        <f>'Avail List'!A53</f>
        <v xml:space="preserve">CARROT MEDIUM 15KG </v>
      </c>
      <c r="D44" s="77" t="str">
        <f>'Avail List'!B53</f>
        <v>BX</v>
      </c>
      <c r="E44" s="77" t="str">
        <f>'Avail List'!C53</f>
        <v xml:space="preserve">15KG  </v>
      </c>
      <c r="F44" s="75" t="str">
        <f>'Avail List'!D53</f>
        <v>ARAHURA</v>
      </c>
      <c r="I44" s="78">
        <f>'Avail List'!I53</f>
        <v>56</v>
      </c>
      <c r="J44" s="75" t="str">
        <f>'Avail List'!J53</f>
        <v>NEW LINE</v>
      </c>
      <c r="K44" s="76" t="s">
        <v>926</v>
      </c>
    </row>
    <row r="45" spans="1:11" x14ac:dyDescent="0.25">
      <c r="A45" s="76" t="str">
        <f>'Avail List'!E54</f>
        <v>CARSXARA</v>
      </c>
      <c r="B45" s="75" t="s">
        <v>15</v>
      </c>
      <c r="C45" s="75" t="str">
        <f>'Avail List'!A54</f>
        <v>CARROT SMALL</v>
      </c>
      <c r="D45" s="77" t="str">
        <f>'Avail List'!B54</f>
        <v>BG</v>
      </c>
      <c r="E45" s="77" t="str">
        <f>'Avail List'!C54</f>
        <v>15KG</v>
      </c>
      <c r="F45" s="75" t="str">
        <f>'Avail List'!D54</f>
        <v>ARAHURA</v>
      </c>
      <c r="I45" s="78">
        <f>'Avail List'!I54</f>
        <v>50</v>
      </c>
      <c r="J45" s="75">
        <f>'Avail List'!J54</f>
        <v>0</v>
      </c>
      <c r="K45" s="76" t="s">
        <v>927</v>
      </c>
    </row>
    <row r="46" spans="1:11" x14ac:dyDescent="0.25">
      <c r="A46" s="76" t="str">
        <f>'Avail List'!E55</f>
        <v>CARLARA</v>
      </c>
      <c r="B46" s="75" t="s">
        <v>15</v>
      </c>
      <c r="C46" s="75" t="str">
        <f>'Avail List'!A55</f>
        <v>CARROT MED/LARGE</v>
      </c>
      <c r="D46" s="77" t="str">
        <f>'Avail List'!B55</f>
        <v>BG</v>
      </c>
      <c r="E46" s="77" t="str">
        <f>'Avail List'!C55</f>
        <v xml:space="preserve">15KG  </v>
      </c>
      <c r="F46" s="75" t="str">
        <f>'Avail List'!D55</f>
        <v>ARAHURA</v>
      </c>
      <c r="I46" s="78">
        <f>'Avail List'!I55</f>
        <v>40</v>
      </c>
      <c r="J46" s="75">
        <f>'Avail List'!J55</f>
        <v>0</v>
      </c>
      <c r="K46" s="76" t="s">
        <v>928</v>
      </c>
    </row>
    <row r="47" spans="1:11" x14ac:dyDescent="0.25">
      <c r="A47" s="76" t="str">
        <f>'Avail List'!E56</f>
        <v>CARJBAU</v>
      </c>
      <c r="B47" s="75" t="s">
        <v>15</v>
      </c>
      <c r="C47" s="75" t="str">
        <f>'Avail List'!A56</f>
        <v>CARROT JUICING</v>
      </c>
      <c r="D47" s="77" t="str">
        <f>'Avail List'!B56</f>
        <v>BG</v>
      </c>
      <c r="E47" s="77" t="str">
        <f>'Avail List'!C56</f>
        <v>20KG</v>
      </c>
      <c r="F47" s="75" t="str">
        <f>'Avail List'!D56</f>
        <v>BAUERS</v>
      </c>
      <c r="I47" s="78">
        <f>'Avail List'!I56</f>
        <v>27</v>
      </c>
      <c r="J47" s="75">
        <f>'Avail List'!J56</f>
        <v>0</v>
      </c>
      <c r="K47" s="76" t="s">
        <v>929</v>
      </c>
    </row>
    <row r="48" spans="1:11" x14ac:dyDescent="0.25">
      <c r="A48" s="76" t="str">
        <f>'Avail List'!E57</f>
        <v>CARJARA</v>
      </c>
      <c r="B48" s="75" t="s">
        <v>15</v>
      </c>
      <c r="C48" s="75" t="str">
        <f>'Avail List'!A57</f>
        <v>CARROT JUICING</v>
      </c>
      <c r="D48" s="77" t="str">
        <f>'Avail List'!B57</f>
        <v>BG</v>
      </c>
      <c r="E48" s="77" t="str">
        <f>'Avail List'!C57</f>
        <v>18KG</v>
      </c>
      <c r="F48" s="75" t="str">
        <f>'Avail List'!D57</f>
        <v>ARAHURA</v>
      </c>
      <c r="I48" s="78">
        <f>'Avail List'!I57</f>
        <v>23</v>
      </c>
      <c r="J48" s="75">
        <f>'Avail List'!J57</f>
        <v>0</v>
      </c>
      <c r="K48" s="76" t="s">
        <v>930</v>
      </c>
    </row>
    <row r="49" spans="1:11" x14ac:dyDescent="0.25">
      <c r="A49" s="76" t="str">
        <f>'Avail List'!E58</f>
        <v>CAUBLC</v>
      </c>
      <c r="B49" s="75" t="s">
        <v>15</v>
      </c>
      <c r="C49" s="75" t="str">
        <f>'Avail List'!A58</f>
        <v>CAULIFLOWER</v>
      </c>
      <c r="D49" s="77" t="str">
        <f>'Avail List'!B58</f>
        <v>BX</v>
      </c>
      <c r="E49" s="77" t="str">
        <f>'Avail List'!C58</f>
        <v>12EA</v>
      </c>
      <c r="F49" s="75" t="str">
        <f>'Avail List'!D58</f>
        <v>BLACKCROW</v>
      </c>
      <c r="I49" s="78">
        <f>'Avail List'!I58</f>
        <v>58</v>
      </c>
      <c r="J49" s="75">
        <f>'Avail List'!J58</f>
        <v>0</v>
      </c>
      <c r="K49" s="76" t="s">
        <v>931</v>
      </c>
    </row>
    <row r="50" spans="1:11" x14ac:dyDescent="0.25">
      <c r="A50" s="76" t="str">
        <f>'Avail List'!E59</f>
        <v>CAUHAR</v>
      </c>
      <c r="B50" s="75" t="s">
        <v>15</v>
      </c>
      <c r="C50" s="75" t="str">
        <f>'Avail List'!A59</f>
        <v>CAULIFLOWER</v>
      </c>
      <c r="D50" s="77" t="str">
        <f>'Avail List'!B59</f>
        <v>BX</v>
      </c>
      <c r="E50" s="77" t="str">
        <f>'Avail List'!C59</f>
        <v>10EA</v>
      </c>
      <c r="F50" s="75" t="str">
        <f>'Avail List'!D59</f>
        <v>MTWHITESTONE</v>
      </c>
      <c r="I50" s="78">
        <f>'Avail List'!I59</f>
        <v>47</v>
      </c>
      <c r="J50" s="75">
        <f>'Avail List'!J59</f>
        <v>0</v>
      </c>
      <c r="K50" s="76" t="s">
        <v>932</v>
      </c>
    </row>
    <row r="51" spans="1:11" x14ac:dyDescent="0.25">
      <c r="A51" s="76" t="str">
        <f>'Avail List'!E60</f>
        <v>CELBLC CELBAU</v>
      </c>
      <c r="B51" s="75" t="s">
        <v>15</v>
      </c>
      <c r="C51" s="75" t="str">
        <f>'Avail List'!A60</f>
        <v>CELERY</v>
      </c>
      <c r="D51" s="77" t="str">
        <f>'Avail List'!B60</f>
        <v>BX</v>
      </c>
      <c r="E51" s="77" t="str">
        <f>'Avail List'!C60</f>
        <v>8EA</v>
      </c>
      <c r="F51" s="75" t="str">
        <f>'Avail List'!D60</f>
        <v>BLACK CROW BAUER</v>
      </c>
      <c r="I51" s="78">
        <f>'Avail List'!I60</f>
        <v>40</v>
      </c>
      <c r="J51" s="75">
        <f>'Avail List'!J60</f>
        <v>0</v>
      </c>
      <c r="K51" s="76" t="s">
        <v>933</v>
      </c>
    </row>
    <row r="52" spans="1:11" x14ac:dyDescent="0.25">
      <c r="A52" s="76" t="str">
        <f>'Avail List'!E61</f>
        <v>CELR2SGR</v>
      </c>
      <c r="B52" s="75" t="s">
        <v>15</v>
      </c>
      <c r="C52" s="75" t="str">
        <f>'Avail List'!A61</f>
        <v>CELERIAC</v>
      </c>
      <c r="D52" s="77" t="str">
        <f>'Avail List'!B61</f>
        <v>BG</v>
      </c>
      <c r="E52" s="77" t="str">
        <f>'Avail List'!C61</f>
        <v xml:space="preserve">2KG  </v>
      </c>
      <c r="F52" s="75" t="str">
        <f>'Avail List'!D61</f>
        <v>FOOTHILLS</v>
      </c>
      <c r="I52" s="78">
        <f>'Avail List'!I61</f>
        <v>27</v>
      </c>
      <c r="J52" s="75">
        <f>'Avail List'!J61</f>
        <v>0</v>
      </c>
      <c r="K52" s="76" t="s">
        <v>934</v>
      </c>
    </row>
    <row r="53" spans="1:11" x14ac:dyDescent="0.25">
      <c r="A53" s="76" t="str">
        <f>'Avail List'!E62</f>
        <v>CORKAL</v>
      </c>
      <c r="B53" s="75" t="s">
        <v>15</v>
      </c>
      <c r="C53" s="75" t="str">
        <f>'Avail List'!A62</f>
        <v>CORN</v>
      </c>
      <c r="D53" s="77" t="str">
        <f>'Avail List'!B62</f>
        <v xml:space="preserve">BX  </v>
      </c>
      <c r="E53" s="77" t="str">
        <f>'Avail List'!C62</f>
        <v>30EA</v>
      </c>
      <c r="F53" s="75" t="str">
        <f>'Avail List'!D62</f>
        <v>KALFRESH</v>
      </c>
      <c r="I53" s="78">
        <f>'Avail List'!I62</f>
        <v>67</v>
      </c>
      <c r="J53" s="75">
        <f>'Avail List'!J62</f>
        <v>0</v>
      </c>
      <c r="K53" s="76" t="s">
        <v>935</v>
      </c>
    </row>
    <row r="54" spans="1:11" x14ac:dyDescent="0.25">
      <c r="A54" s="76" t="str">
        <f>'Avail List'!E63</f>
        <v>CUCLXSUN</v>
      </c>
      <c r="B54" s="75" t="s">
        <v>15</v>
      </c>
      <c r="C54" s="75" t="str">
        <f>'Avail List'!A63</f>
        <v xml:space="preserve">CUCUMBER LEBANESE </v>
      </c>
      <c r="D54" s="77" t="str">
        <f>'Avail List'!B63</f>
        <v>BX</v>
      </c>
      <c r="E54" s="77" t="str">
        <f>'Avail List'!C63</f>
        <v>10KG</v>
      </c>
      <c r="F54" s="75" t="str">
        <f>'Avail List'!D63</f>
        <v xml:space="preserve">SUNUP </v>
      </c>
      <c r="I54" s="78">
        <f>'Avail List'!I63</f>
        <v>82</v>
      </c>
      <c r="J54" s="75">
        <f>'Avail List'!J63</f>
        <v>0</v>
      </c>
      <c r="K54" s="76" t="s">
        <v>936</v>
      </c>
    </row>
    <row r="55" spans="1:11" x14ac:dyDescent="0.25">
      <c r="A55" s="76" t="str">
        <f>'Avail List'!E64</f>
        <v>CUCL2XSUN</v>
      </c>
      <c r="B55" s="75" t="s">
        <v>15</v>
      </c>
      <c r="C55" s="75" t="str">
        <f>'Avail List'!A64</f>
        <v>CUCUMBER LEBANESE 2ND</v>
      </c>
      <c r="D55" s="77" t="str">
        <f>'Avail List'!B64</f>
        <v>BX</v>
      </c>
      <c r="E55" s="77" t="str">
        <f>'Avail List'!C64</f>
        <v>10KG</v>
      </c>
      <c r="F55" s="75" t="str">
        <f>'Avail List'!D64</f>
        <v xml:space="preserve">SUNUP </v>
      </c>
      <c r="I55" s="78">
        <f>'Avail List'!I64</f>
        <v>60</v>
      </c>
      <c r="J55" s="75">
        <f>'Avail List'!J64</f>
        <v>0</v>
      </c>
      <c r="K55" s="76" t="s">
        <v>937</v>
      </c>
    </row>
    <row r="56" spans="1:11" x14ac:dyDescent="0.25">
      <c r="A56" s="76" t="str">
        <f>'Avail List'!E65</f>
        <v>DAIBSGR</v>
      </c>
      <c r="B56" s="75" t="s">
        <v>15</v>
      </c>
      <c r="C56" s="75" t="str">
        <f>'Avail List'!A65</f>
        <v>DAIKON BUNCH</v>
      </c>
      <c r="D56" s="77" t="str">
        <f>'Avail List'!B65</f>
        <v>EA</v>
      </c>
      <c r="E56" s="77" t="str">
        <f>'Avail List'!C65</f>
        <v xml:space="preserve">1BN  </v>
      </c>
      <c r="F56" s="75" t="str">
        <f>'Avail List'!D65</f>
        <v>FOOTHILLS</v>
      </c>
      <c r="I56" s="78">
        <f>'Avail List'!I65</f>
        <v>9</v>
      </c>
      <c r="J56" s="75">
        <f>'Avail List'!J65</f>
        <v>0</v>
      </c>
      <c r="K56" s="76" t="s">
        <v>938</v>
      </c>
    </row>
    <row r="57" spans="1:11" x14ac:dyDescent="0.25">
      <c r="A57" s="76" t="str">
        <f>'Avail List'!E66</f>
        <v>EGGBLW</v>
      </c>
      <c r="B57" s="75" t="s">
        <v>15</v>
      </c>
      <c r="C57" s="75" t="str">
        <f>'Avail List'!A66</f>
        <v>EGGPLANT</v>
      </c>
      <c r="D57" s="77" t="str">
        <f>'Avail List'!B66</f>
        <v>BX</v>
      </c>
      <c r="E57" s="77" t="str">
        <f>'Avail List'!C66</f>
        <v>5KG</v>
      </c>
      <c r="F57" s="75" t="str">
        <f>'Avail List'!D66</f>
        <v>BARLOW</v>
      </c>
      <c r="I57" s="78">
        <f>'Avail List'!I66</f>
        <v>30</v>
      </c>
      <c r="J57" s="75">
        <f>'Avail List'!J66</f>
        <v>0</v>
      </c>
      <c r="K57" s="76" t="s">
        <v>939</v>
      </c>
    </row>
    <row r="58" spans="1:11" x14ac:dyDescent="0.25">
      <c r="A58" s="76" t="str">
        <f>'Avail List'!E67</f>
        <v>ESCSUT</v>
      </c>
      <c r="B58" s="75" t="s">
        <v>15</v>
      </c>
      <c r="C58" s="75" t="str">
        <f>'Avail List'!A67</f>
        <v>ESCHALLOT</v>
      </c>
      <c r="D58" s="77" t="str">
        <f>'Avail List'!B67</f>
        <v>EA</v>
      </c>
      <c r="E58" s="77" t="str">
        <f>'Avail List'!C67</f>
        <v xml:space="preserve">1BN  </v>
      </c>
      <c r="F58" s="75" t="str">
        <f>'Avail List'!D67</f>
        <v xml:space="preserve">FORDSDALE </v>
      </c>
      <c r="I58" s="78">
        <f>'Avail List'!I67</f>
        <v>3.5</v>
      </c>
      <c r="J58" s="75" t="str">
        <f>'Avail List'!J67</f>
        <v>10+ @ $3.30 BN</v>
      </c>
      <c r="K58" s="76" t="s">
        <v>940</v>
      </c>
    </row>
    <row r="59" spans="1:11" x14ac:dyDescent="0.25">
      <c r="A59" s="76" t="str">
        <f>'Avail List'!E68</f>
        <v>GARRBEL</v>
      </c>
      <c r="B59" s="75" t="s">
        <v>15</v>
      </c>
      <c r="C59" s="75" t="str">
        <f>'Avail List'!A68</f>
        <v>GARLIC BULBS GIANT AUSTRALIAN / RUSSIAN</v>
      </c>
      <c r="D59" s="77" t="str">
        <f>'Avail List'!B68</f>
        <v>KG</v>
      </c>
      <c r="E59" s="77" t="str">
        <f>'Avail List'!C68</f>
        <v>PER KG</v>
      </c>
      <c r="F59" s="75" t="str">
        <f>'Avail List'!D68</f>
        <v>BELLBIRD</v>
      </c>
      <c r="I59" s="78">
        <f>'Avail List'!I68</f>
        <v>60</v>
      </c>
      <c r="J59" s="75">
        <f>'Avail List'!J68</f>
        <v>0</v>
      </c>
      <c r="K59" s="76" t="s">
        <v>941</v>
      </c>
    </row>
    <row r="60" spans="1:11" x14ac:dyDescent="0.25">
      <c r="A60" s="76" t="str">
        <f>'Avail List'!E69</f>
        <v>GARIHAR</v>
      </c>
      <c r="B60" s="75" t="s">
        <v>15</v>
      </c>
      <c r="C60" s="75" t="str">
        <f>'Avail List'!A69</f>
        <v>GARLIC ITALIAN PURPLE</v>
      </c>
      <c r="D60" s="77" t="str">
        <f>'Avail List'!B69</f>
        <v>KG</v>
      </c>
      <c r="E60" s="77" t="str">
        <f>'Avail List'!C69</f>
        <v>PER KG</v>
      </c>
      <c r="F60" s="75" t="str">
        <f>'Avail List'!D69</f>
        <v>MT WHITESTONE</v>
      </c>
      <c r="I60" s="78">
        <f>'Avail List'!I69</f>
        <v>60</v>
      </c>
      <c r="J60" s="75" t="str">
        <f>'Avail List'!J69</f>
        <v>NEW LINE - LIMITED</v>
      </c>
      <c r="K60" s="76" t="s">
        <v>942</v>
      </c>
    </row>
    <row r="61" spans="1:11" x14ac:dyDescent="0.25">
      <c r="A61" s="76" t="str">
        <f>'Avail List'!E70</f>
        <v>GINNIC GINLAK GINMAH</v>
      </c>
      <c r="B61" s="75" t="s">
        <v>15</v>
      </c>
      <c r="C61" s="75" t="str">
        <f>'Avail List'!A70</f>
        <v>GINGER</v>
      </c>
      <c r="D61" s="77" t="str">
        <f>'Avail List'!B70</f>
        <v>KG</v>
      </c>
      <c r="E61" s="77" t="str">
        <f>'Avail List'!C70</f>
        <v xml:space="preserve">1KG  </v>
      </c>
      <c r="F61" s="75" t="str">
        <f>'Avail List'!D70</f>
        <v>NICHOLSON LAKELAND BEAUVISTA</v>
      </c>
      <c r="I61" s="78">
        <f>'Avail List'!I70</f>
        <v>21</v>
      </c>
      <c r="J61" s="75" t="str">
        <f>'Avail List'!J70</f>
        <v>5KG+ @ $20KG</v>
      </c>
      <c r="K61" s="76" t="s">
        <v>943</v>
      </c>
    </row>
    <row r="62" spans="1:11" x14ac:dyDescent="0.25">
      <c r="A62" s="76" t="str">
        <f>'Avail List'!E71</f>
        <v>LEESUT</v>
      </c>
      <c r="B62" s="75" t="s">
        <v>15</v>
      </c>
      <c r="C62" s="75" t="str">
        <f>'Avail List'!A71</f>
        <v>LEEK SINGLE</v>
      </c>
      <c r="D62" s="77" t="str">
        <f>'Avail List'!B71</f>
        <v>EA</v>
      </c>
      <c r="E62" s="77" t="str">
        <f>'Avail List'!C71</f>
        <v xml:space="preserve">1EA  </v>
      </c>
      <c r="F62" s="75" t="str">
        <f>'Avail List'!D71</f>
        <v>FORDSDALE</v>
      </c>
      <c r="I62" s="78">
        <f>'Avail List'!I71</f>
        <v>2.4</v>
      </c>
      <c r="J62" s="75" t="str">
        <f>'Avail List'!J71</f>
        <v>30+ @ $2.30 EA</v>
      </c>
      <c r="K62" s="76" t="s">
        <v>944</v>
      </c>
    </row>
    <row r="63" spans="1:11" x14ac:dyDescent="0.25">
      <c r="A63" s="76" t="str">
        <f>'Avail List'!E72</f>
        <v>LEEBSGR</v>
      </c>
      <c r="B63" s="75" t="s">
        <v>15</v>
      </c>
      <c r="C63" s="75" t="str">
        <f>'Avail List'!A72</f>
        <v>LEEK BUNCH</v>
      </c>
      <c r="D63" s="77" t="str">
        <f>'Avail List'!B72</f>
        <v>BN</v>
      </c>
      <c r="E63" s="77" t="str">
        <f>'Avail List'!C72</f>
        <v xml:space="preserve">1BN  </v>
      </c>
      <c r="F63" s="75" t="str">
        <f>'Avail List'!D72</f>
        <v>FOOTHILLS</v>
      </c>
      <c r="I63" s="78">
        <f>'Avail List'!I72</f>
        <v>6.6</v>
      </c>
      <c r="J63" s="75">
        <f>'Avail List'!J72</f>
        <v>0</v>
      </c>
      <c r="K63" s="76" t="s">
        <v>945</v>
      </c>
    </row>
    <row r="64" spans="1:11" x14ac:dyDescent="0.25">
      <c r="A64" s="76" t="str">
        <f>'Avail List'!E73</f>
        <v>LETCJAR LETCCHA</v>
      </c>
      <c r="B64" s="75" t="s">
        <v>15</v>
      </c>
      <c r="C64" s="75" t="str">
        <f>'Avail List'!A73</f>
        <v xml:space="preserve">LETTUCE COS </v>
      </c>
      <c r="D64" s="77" t="str">
        <f>'Avail List'!B73</f>
        <v>BX</v>
      </c>
      <c r="E64" s="77" t="str">
        <f>'Avail List'!C73</f>
        <v>8EA</v>
      </c>
      <c r="F64" s="75" t="str">
        <f>'Avail List'!D73</f>
        <v>JARCMAN FIFTH ACRE</v>
      </c>
      <c r="I64" s="78">
        <f>'Avail List'!I73</f>
        <v>29</v>
      </c>
      <c r="J64" s="75">
        <f>'Avail List'!J73</f>
        <v>0</v>
      </c>
      <c r="K64" s="76" t="s">
        <v>946</v>
      </c>
    </row>
    <row r="65" spans="1:11" x14ac:dyDescent="0.25">
      <c r="A65" s="76" t="str">
        <f>'Avail List'!E74</f>
        <v>LETBCPEN</v>
      </c>
      <c r="B65" s="75" t="s">
        <v>15</v>
      </c>
      <c r="C65" s="75" t="str">
        <f>'Avail List'!A74</f>
        <v>LETTUCE COS TWIN PACK</v>
      </c>
      <c r="D65" s="77" t="str">
        <f>'Avail List'!B74</f>
        <v>BX</v>
      </c>
      <c r="E65" s="77" t="str">
        <f>'Avail List'!C74</f>
        <v>8X2PK</v>
      </c>
      <c r="F65" s="75" t="str">
        <f>'Avail List'!D74</f>
        <v>PENINSULA</v>
      </c>
      <c r="I65" s="78">
        <f>'Avail List'!I74</f>
        <v>36</v>
      </c>
      <c r="J65" s="75">
        <f>'Avail List'!J74</f>
        <v>0</v>
      </c>
      <c r="K65" s="76" t="s">
        <v>947</v>
      </c>
    </row>
    <row r="66" spans="1:11" x14ac:dyDescent="0.25">
      <c r="A66" s="76" t="str">
        <f>'Avail List'!E75</f>
        <v>LETCSUT</v>
      </c>
      <c r="B66" s="75" t="s">
        <v>15</v>
      </c>
      <c r="C66" s="75" t="str">
        <f>'Avail List'!A75</f>
        <v xml:space="preserve">LETTUCE COS </v>
      </c>
      <c r="D66" s="77" t="str">
        <f>'Avail List'!B75</f>
        <v>BX</v>
      </c>
      <c r="E66" s="77" t="str">
        <f>'Avail List'!C75</f>
        <v>10EA</v>
      </c>
      <c r="F66" s="75" t="str">
        <f>'Avail List'!D75</f>
        <v>FORDSDALE</v>
      </c>
      <c r="I66" s="78">
        <f>'Avail List'!I75</f>
        <v>29</v>
      </c>
      <c r="J66" s="75">
        <f>'Avail List'!J75</f>
        <v>0</v>
      </c>
      <c r="K66" s="76" t="s">
        <v>948</v>
      </c>
    </row>
    <row r="67" spans="1:11" x14ac:dyDescent="0.25">
      <c r="A67" s="76" t="str">
        <f>'Avail List'!E76</f>
        <v>LETBIJAR LETIPEN</v>
      </c>
      <c r="B67" s="75" t="s">
        <v>15</v>
      </c>
      <c r="C67" s="75" t="str">
        <f>'Avail List'!A76</f>
        <v>LETTUCE ICEBERG</v>
      </c>
      <c r="D67" s="77" t="str">
        <f>'Avail List'!B76</f>
        <v xml:space="preserve">BX  </v>
      </c>
      <c r="E67" s="77" t="str">
        <f>'Avail List'!C76</f>
        <v>6EA</v>
      </c>
      <c r="F67" s="75" t="str">
        <f>'Avail List'!D76</f>
        <v>JARCMAN PENINSULA</v>
      </c>
      <c r="I67" s="78">
        <f>'Avail List'!I76</f>
        <v>23</v>
      </c>
      <c r="J67" s="75">
        <f>'Avail List'!J76</f>
        <v>0</v>
      </c>
      <c r="K67" s="76" t="s">
        <v>949</v>
      </c>
    </row>
    <row r="68" spans="1:11" x14ac:dyDescent="0.25">
      <c r="A68" s="76" t="str">
        <f>'Avail List'!E77</f>
        <v>LETBJAR</v>
      </c>
      <c r="B68" s="75" t="s">
        <v>15</v>
      </c>
      <c r="C68" s="75" t="str">
        <f>'Avail List'!A77</f>
        <v>LETTUCE BUTTER</v>
      </c>
      <c r="D68" s="77" t="str">
        <f>'Avail List'!B77</f>
        <v>BX</v>
      </c>
      <c r="E68" s="77" t="str">
        <f>'Avail List'!C77</f>
        <v>8EA</v>
      </c>
      <c r="F68" s="75" t="str">
        <f>'Avail List'!D77</f>
        <v>JARCMAN</v>
      </c>
      <c r="I68" s="78">
        <f>'Avail List'!I77</f>
        <v>18.5</v>
      </c>
      <c r="J68" s="75">
        <f>'Avail List'!J77</f>
        <v>0</v>
      </c>
      <c r="K68" s="76" t="s">
        <v>950</v>
      </c>
    </row>
    <row r="69" spans="1:11" x14ac:dyDescent="0.25">
      <c r="A69" s="76" t="str">
        <f>'Avail List'!E78</f>
        <v>LETGOJAR</v>
      </c>
      <c r="B69" s="75" t="s">
        <v>15</v>
      </c>
      <c r="C69" s="75" t="str">
        <f>'Avail List'!A78</f>
        <v>LETTUCE GREEN OAK</v>
      </c>
      <c r="D69" s="77" t="str">
        <f>'Avail List'!B78</f>
        <v>BX</v>
      </c>
      <c r="E69" s="77" t="str">
        <f>'Avail List'!C78</f>
        <v>8EA</v>
      </c>
      <c r="F69" s="75" t="str">
        <f>'Avail List'!D78</f>
        <v>JARCMAN</v>
      </c>
      <c r="I69" s="78">
        <f>'Avail List'!I78</f>
        <v>18.5</v>
      </c>
      <c r="J69" s="75">
        <f>'Avail List'!J78</f>
        <v>0</v>
      </c>
      <c r="K69" s="76" t="s">
        <v>951</v>
      </c>
    </row>
    <row r="70" spans="1:11" x14ac:dyDescent="0.25">
      <c r="A70" s="76" t="str">
        <f>'Avail List'!E79</f>
        <v>LETRAJAR</v>
      </c>
      <c r="B70" s="75" t="s">
        <v>15</v>
      </c>
      <c r="C70" s="75" t="str">
        <f>'Avail List'!A79</f>
        <v>LETTUCE RADICCIO</v>
      </c>
      <c r="D70" s="77" t="str">
        <f>'Avail List'!B79</f>
        <v>BX</v>
      </c>
      <c r="E70" s="77" t="str">
        <f>'Avail List'!C79</f>
        <v>8EA</v>
      </c>
      <c r="F70" s="75" t="str">
        <f>'Avail List'!D79</f>
        <v>JARCMAN</v>
      </c>
      <c r="I70" s="78">
        <f>'Avail List'!I79</f>
        <v>20.5</v>
      </c>
      <c r="J70" s="75">
        <f>'Avail List'!J79</f>
        <v>0</v>
      </c>
      <c r="K70" s="76" t="s">
        <v>952</v>
      </c>
    </row>
    <row r="71" spans="1:11" x14ac:dyDescent="0.25">
      <c r="A71" s="76" t="str">
        <f>'Avail List'!E80</f>
        <v>LETROJAR</v>
      </c>
      <c r="B71" s="75" t="s">
        <v>15</v>
      </c>
      <c r="C71" s="75" t="str">
        <f>'Avail List'!A80</f>
        <v>LETTUCE RED OAK</v>
      </c>
      <c r="D71" s="77" t="str">
        <f>'Avail List'!B80</f>
        <v>BX</v>
      </c>
      <c r="E71" s="77" t="str">
        <f>'Avail List'!C80</f>
        <v>8EA</v>
      </c>
      <c r="F71" s="75" t="str">
        <f>'Avail List'!D80</f>
        <v>JARCMAN</v>
      </c>
      <c r="I71" s="78">
        <f>'Avail List'!I80</f>
        <v>18.5</v>
      </c>
      <c r="J71" s="75">
        <f>'Avail List'!J80</f>
        <v>0</v>
      </c>
      <c r="K71" s="76" t="s">
        <v>953</v>
      </c>
    </row>
    <row r="72" spans="1:11" x14ac:dyDescent="0.25">
      <c r="A72" s="76" t="str">
        <f>'Avail List'!E81</f>
        <v>BABSALPCOO</v>
      </c>
      <c r="B72" s="75" t="s">
        <v>15</v>
      </c>
      <c r="C72" s="75" t="str">
        <f>'Avail List'!A81</f>
        <v>LETTUCE SALAD MIX PUNNET 120G</v>
      </c>
      <c r="D72" s="77" t="str">
        <f>'Avail List'!B81</f>
        <v>EA</v>
      </c>
      <c r="E72" s="77" t="str">
        <f>'Avail List'!C81</f>
        <v>1 PNT</v>
      </c>
      <c r="F72" s="75" t="str">
        <f>'Avail List'!D81</f>
        <v>COOLIBAH HERBS</v>
      </c>
      <c r="I72" s="78">
        <f>'Avail List'!I81</f>
        <v>3.9</v>
      </c>
      <c r="J72" s="75" t="str">
        <f>'Avail List'!J81</f>
        <v xml:space="preserve">15+ @ $3.75 PT </v>
      </c>
      <c r="K72" s="76" t="s">
        <v>954</v>
      </c>
    </row>
    <row r="73" spans="1:11" x14ac:dyDescent="0.25">
      <c r="A73" s="76" t="str">
        <f>'Avail List'!E82</f>
        <v>MUSLWUL</v>
      </c>
      <c r="B73" s="75" t="s">
        <v>15</v>
      </c>
      <c r="C73" s="75" t="str">
        <f>'Avail List'!A82</f>
        <v>MUSHROOMS LIONS MANE 150G</v>
      </c>
      <c r="D73" s="77" t="str">
        <f>'Avail List'!B82</f>
        <v>EA</v>
      </c>
      <c r="E73" s="77" t="str">
        <f>'Avail List'!C82</f>
        <v>1PNT</v>
      </c>
      <c r="F73" s="75" t="str">
        <f>'Avail List'!D82</f>
        <v>WULFF &amp; CUB</v>
      </c>
      <c r="I73" s="78">
        <f>'Avail List'!I82</f>
        <v>6.25</v>
      </c>
      <c r="J73" s="75">
        <f>'Avail List'!J82</f>
        <v>0</v>
      </c>
      <c r="K73" s="76" t="s">
        <v>955</v>
      </c>
    </row>
    <row r="74" spans="1:11" x14ac:dyDescent="0.25">
      <c r="A74" s="76" t="str">
        <f>'Avail List'!E83</f>
        <v>MUSLXWUL</v>
      </c>
      <c r="B74" s="75" t="s">
        <v>15</v>
      </c>
      <c r="C74" s="75" t="str">
        <f>'Avail List'!A83</f>
        <v>MUSHROOMS LIONS MANE 1KG</v>
      </c>
      <c r="D74" s="77" t="str">
        <f>'Avail List'!B83</f>
        <v>BX</v>
      </c>
      <c r="E74" s="77" t="str">
        <f>'Avail List'!C83</f>
        <v>1KG</v>
      </c>
      <c r="F74" s="75" t="str">
        <f>'Avail List'!D83</f>
        <v>WULFF &amp; CUB</v>
      </c>
      <c r="I74" s="78">
        <f>'Avail List'!I83</f>
        <v>59</v>
      </c>
      <c r="J74" s="75">
        <f>'Avail List'!J83</f>
        <v>0</v>
      </c>
      <c r="K74" s="76" t="s">
        <v>956</v>
      </c>
    </row>
    <row r="75" spans="1:11" x14ac:dyDescent="0.25">
      <c r="A75" s="76" t="str">
        <f>'Avail List'!E84</f>
        <v>MUSOWUL</v>
      </c>
      <c r="B75" s="75" t="s">
        <v>15</v>
      </c>
      <c r="C75" s="75" t="str">
        <f>'Avail List'!A84</f>
        <v>MUSHROOMS OYSTER 150G</v>
      </c>
      <c r="D75" s="77" t="str">
        <f>'Avail List'!B84</f>
        <v>EA</v>
      </c>
      <c r="E75" s="77" t="str">
        <f>'Avail List'!C84</f>
        <v>1PNT</v>
      </c>
      <c r="F75" s="75" t="str">
        <f>'Avail List'!D84</f>
        <v>WULFF &amp; CUB</v>
      </c>
      <c r="I75" s="78">
        <f>'Avail List'!I84</f>
        <v>6.25</v>
      </c>
      <c r="J75" s="75">
        <f>'Avail List'!J84</f>
        <v>0</v>
      </c>
      <c r="K75" s="76" t="s">
        <v>957</v>
      </c>
    </row>
    <row r="76" spans="1:11" x14ac:dyDescent="0.25">
      <c r="A76" s="76" t="str">
        <f>'Avail List'!E85</f>
        <v>MUSOXWUL</v>
      </c>
      <c r="B76" s="75" t="s">
        <v>15</v>
      </c>
      <c r="C76" s="75" t="str">
        <f>'Avail List'!A85</f>
        <v>MUSHROOMS OYSTER 1KG</v>
      </c>
      <c r="D76" s="77" t="str">
        <f>'Avail List'!B85</f>
        <v>TR</v>
      </c>
      <c r="E76" s="77" t="str">
        <f>'Avail List'!C85</f>
        <v>1KG</v>
      </c>
      <c r="F76" s="75" t="str">
        <f>'Avail List'!D85</f>
        <v>WULFF &amp; CUB</v>
      </c>
      <c r="I76" s="78">
        <f>'Avail List'!I85</f>
        <v>42</v>
      </c>
      <c r="J76" s="75">
        <f>'Avail List'!J85</f>
        <v>0</v>
      </c>
      <c r="K76" s="76" t="s">
        <v>958</v>
      </c>
    </row>
    <row r="77" spans="1:11" x14ac:dyDescent="0.25">
      <c r="A77" s="76" t="str">
        <f>'Avail List'!E86</f>
        <v>MUSSHWUL</v>
      </c>
      <c r="B77" s="75" t="s">
        <v>15</v>
      </c>
      <c r="C77" s="75" t="str">
        <f>'Avail List'!A86</f>
        <v>MUSHROOMS SHIITAKE 100G</v>
      </c>
      <c r="D77" s="77" t="str">
        <f>'Avail List'!B86</f>
        <v>EA</v>
      </c>
      <c r="E77" s="77" t="str">
        <f>'Avail List'!C86</f>
        <v>1PNT</v>
      </c>
      <c r="F77" s="75" t="str">
        <f>'Avail List'!D86</f>
        <v>WULFF &amp; CUB</v>
      </c>
      <c r="I77" s="78">
        <f>'Avail List'!I86</f>
        <v>6.25</v>
      </c>
      <c r="J77" s="75">
        <f>'Avail List'!J86</f>
        <v>0</v>
      </c>
      <c r="K77" s="76" t="s">
        <v>959</v>
      </c>
    </row>
    <row r="78" spans="1:11" x14ac:dyDescent="0.25">
      <c r="A78" s="76" t="str">
        <f>'Avail List'!E87</f>
        <v>MUSSHXWUL</v>
      </c>
      <c r="B78" s="75" t="s">
        <v>15</v>
      </c>
      <c r="C78" s="75" t="str">
        <f>'Avail List'!A87</f>
        <v>MUSHROOMS SHIITAKE 1KG</v>
      </c>
      <c r="D78" s="77" t="str">
        <f>'Avail List'!B87</f>
        <v>TR</v>
      </c>
      <c r="E78" s="77" t="str">
        <f>'Avail List'!C87</f>
        <v>1KG</v>
      </c>
      <c r="F78" s="75" t="str">
        <f>'Avail List'!D87</f>
        <v>WULFF &amp; CUB</v>
      </c>
      <c r="I78" s="78">
        <f>'Avail List'!I87</f>
        <v>50</v>
      </c>
      <c r="J78" s="75">
        <f>'Avail List'!J87</f>
        <v>0</v>
      </c>
      <c r="K78" s="76" t="s">
        <v>960</v>
      </c>
    </row>
    <row r="79" spans="1:11" x14ac:dyDescent="0.25">
      <c r="A79" s="76" t="str">
        <f>'Avail List'!E88</f>
        <v>MUSSHBUL</v>
      </c>
      <c r="B79" s="75" t="s">
        <v>15</v>
      </c>
      <c r="C79" s="75" t="str">
        <f>'Avail List'!A88</f>
        <v>MUSHROOMS SHIITAKE 100G</v>
      </c>
      <c r="D79" s="77" t="str">
        <f>'Avail List'!B88</f>
        <v>TR</v>
      </c>
      <c r="E79" s="77" t="str">
        <f>'Avail List'!C88</f>
        <v>6PT</v>
      </c>
      <c r="F79" s="75" t="str">
        <f>'Avail List'!D88</f>
        <v>BULLA PARK</v>
      </c>
      <c r="I79" s="78">
        <f>'Avail List'!I88</f>
        <v>39</v>
      </c>
      <c r="J79" s="75">
        <f>'Avail List'!J88</f>
        <v>0</v>
      </c>
      <c r="K79" s="76" t="s">
        <v>961</v>
      </c>
    </row>
    <row r="80" spans="1:11" x14ac:dyDescent="0.25">
      <c r="A80" s="76" t="str">
        <f>'Avail List'!E89</f>
        <v>MUSSBUL</v>
      </c>
      <c r="B80" s="75" t="s">
        <v>15</v>
      </c>
      <c r="C80" s="75" t="str">
        <f>'Avail List'!A89</f>
        <v>MUSHROOMS SWISS BROWN 180G</v>
      </c>
      <c r="D80" s="77" t="str">
        <f>'Avail List'!B89</f>
        <v>TR</v>
      </c>
      <c r="E80" s="77" t="str">
        <f>'Avail List'!C89</f>
        <v xml:space="preserve">6PT  </v>
      </c>
      <c r="F80" s="75" t="str">
        <f>'Avail List'!D89</f>
        <v>BULLA PARK</v>
      </c>
      <c r="I80" s="78">
        <f>'Avail List'!I89</f>
        <v>32.5</v>
      </c>
      <c r="J80" s="75">
        <f>'Avail List'!J89</f>
        <v>0</v>
      </c>
      <c r="K80" s="76" t="s">
        <v>962</v>
      </c>
    </row>
    <row r="81" spans="1:11" x14ac:dyDescent="0.25">
      <c r="A81" s="76" t="str">
        <f>'Avail List'!E90</f>
        <v>MUSSX2BUL</v>
      </c>
      <c r="B81" s="75" t="s">
        <v>15</v>
      </c>
      <c r="C81" s="75" t="str">
        <f>'Avail List'!A90</f>
        <v>MUSHROOMS SWISS BROWN 2KG</v>
      </c>
      <c r="D81" s="77" t="str">
        <f>'Avail List'!B90</f>
        <v>BX</v>
      </c>
      <c r="E81" s="77" t="str">
        <f>'Avail List'!C90</f>
        <v xml:space="preserve">2KG  </v>
      </c>
      <c r="F81" s="75" t="str">
        <f>'Avail List'!D90</f>
        <v>BULLA PARK</v>
      </c>
      <c r="I81" s="78">
        <f>'Avail List'!I90</f>
        <v>59</v>
      </c>
      <c r="J81" s="75">
        <f>'Avail List'!J90</f>
        <v>0</v>
      </c>
      <c r="K81" s="76" t="s">
        <v>963</v>
      </c>
    </row>
    <row r="82" spans="1:11" x14ac:dyDescent="0.25">
      <c r="A82" s="76" t="str">
        <f>'Avail List'!E91</f>
        <v>MUSS3BUL</v>
      </c>
      <c r="B82" s="75" t="s">
        <v>15</v>
      </c>
      <c r="C82" s="75" t="str">
        <f>'Avail List'!A91</f>
        <v>MUSHROOMS SWISS BROWN 3KG FLAT</v>
      </c>
      <c r="D82" s="77" t="str">
        <f>'Avail List'!B91</f>
        <v>BX</v>
      </c>
      <c r="E82" s="77" t="str">
        <f>'Avail List'!C91</f>
        <v xml:space="preserve">3KG  </v>
      </c>
      <c r="F82" s="75" t="str">
        <f>'Avail List'!D91</f>
        <v>BULLA PARK</v>
      </c>
      <c r="I82" s="78">
        <f>'Avail List'!I91</f>
        <v>91</v>
      </c>
      <c r="J82" s="75">
        <f>'Avail List'!J91</f>
        <v>0</v>
      </c>
      <c r="K82" s="76" t="s">
        <v>964</v>
      </c>
    </row>
    <row r="83" spans="1:11" x14ac:dyDescent="0.25">
      <c r="A83" s="76" t="str">
        <f>'Avail List'!E92</f>
        <v>MUSSFBUL</v>
      </c>
      <c r="B83" s="75" t="s">
        <v>15</v>
      </c>
      <c r="C83" s="75" t="str">
        <f>'Avail List'!A92</f>
        <v>MUSHROOMS SWISS BROWN 375G FLAT</v>
      </c>
      <c r="D83" s="77" t="str">
        <f>'Avail List'!B92</f>
        <v>TR</v>
      </c>
      <c r="E83" s="77" t="str">
        <f>'Avail List'!C92</f>
        <v>4PT</v>
      </c>
      <c r="F83" s="75" t="str">
        <f>'Avail List'!D92</f>
        <v>BULLA PARK</v>
      </c>
      <c r="I83" s="78">
        <f>'Avail List'!I92</f>
        <v>49.5</v>
      </c>
      <c r="J83" s="75">
        <f>'Avail List'!J92</f>
        <v>0</v>
      </c>
      <c r="K83" s="76" t="s">
        <v>965</v>
      </c>
    </row>
    <row r="84" spans="1:11" x14ac:dyDescent="0.25">
      <c r="A84" s="76" t="str">
        <f>'Avail List'!E93</f>
        <v>MUSS4BUL</v>
      </c>
      <c r="B84" s="75" t="s">
        <v>15</v>
      </c>
      <c r="C84" s="75" t="str">
        <f>'Avail List'!A93</f>
        <v>MUSHROOMS SWISS BROWN MISCELLANEOUS 4KG</v>
      </c>
      <c r="D84" s="77" t="str">
        <f>'Avail List'!B93</f>
        <v>BX</v>
      </c>
      <c r="E84" s="77" t="str">
        <f>'Avail List'!C93</f>
        <v xml:space="preserve">4KG  </v>
      </c>
      <c r="F84" s="75" t="str">
        <f>'Avail List'!D93</f>
        <v>BULLA PARK</v>
      </c>
      <c r="I84" s="78">
        <f>'Avail List'!I93</f>
        <v>57</v>
      </c>
      <c r="J84" s="75">
        <f>'Avail List'!J93</f>
        <v>0</v>
      </c>
      <c r="K84" s="76" t="s">
        <v>966</v>
      </c>
    </row>
    <row r="85" spans="1:11" x14ac:dyDescent="0.25">
      <c r="A85" s="76" t="str">
        <f>'Avail List'!E94</f>
        <v>MUSBUL</v>
      </c>
      <c r="B85" s="75" t="s">
        <v>15</v>
      </c>
      <c r="C85" s="75" t="str">
        <f>'Avail List'!A94</f>
        <v>MUSHROOMS WHITE 180G CUPS</v>
      </c>
      <c r="D85" s="77" t="str">
        <f>'Avail List'!B94</f>
        <v>TR</v>
      </c>
      <c r="E85" s="77" t="str">
        <f>'Avail List'!C94</f>
        <v xml:space="preserve">6PT  </v>
      </c>
      <c r="F85" s="75" t="str">
        <f>'Avail List'!D94</f>
        <v>BULLA PARK</v>
      </c>
      <c r="I85" s="78">
        <f>'Avail List'!I94</f>
        <v>31.5</v>
      </c>
      <c r="J85" s="75">
        <f>'Avail List'!J94</f>
        <v>0</v>
      </c>
      <c r="K85" s="76" t="s">
        <v>967</v>
      </c>
    </row>
    <row r="86" spans="1:11" x14ac:dyDescent="0.25">
      <c r="A86" s="76" t="str">
        <f>'Avail List'!E95</f>
        <v>MUSX2BUL</v>
      </c>
      <c r="B86" s="75" t="s">
        <v>15</v>
      </c>
      <c r="C86" s="75" t="str">
        <f>'Avail List'!A95</f>
        <v>MUSHROOMS WHITE 2KG</v>
      </c>
      <c r="D86" s="77" t="str">
        <f>'Avail List'!B95</f>
        <v>BX</v>
      </c>
      <c r="E86" s="77" t="str">
        <f>'Avail List'!C95</f>
        <v xml:space="preserve">2KG  </v>
      </c>
      <c r="F86" s="75" t="str">
        <f>'Avail List'!D95</f>
        <v>BULLA PARK</v>
      </c>
      <c r="I86" s="78">
        <f>'Avail List'!I95</f>
        <v>57</v>
      </c>
      <c r="J86" s="75">
        <f>'Avail List'!J95</f>
        <v>0</v>
      </c>
      <c r="K86" s="76" t="s">
        <v>968</v>
      </c>
    </row>
    <row r="87" spans="1:11" x14ac:dyDescent="0.25">
      <c r="A87" s="76" t="str">
        <f>'Avail List'!E96</f>
        <v>MUS4BUL</v>
      </c>
      <c r="B87" s="75" t="s">
        <v>15</v>
      </c>
      <c r="C87" s="75" t="str">
        <f>'Avail List'!A96</f>
        <v>MUSHROOMS WHITE MISCELLANEOUS 4KG</v>
      </c>
      <c r="D87" s="77" t="str">
        <f>'Avail List'!B96</f>
        <v>BX</v>
      </c>
      <c r="E87" s="77" t="str">
        <f>'Avail List'!C96</f>
        <v xml:space="preserve">4KG  </v>
      </c>
      <c r="F87" s="75" t="str">
        <f>'Avail List'!D96</f>
        <v>BULLA PARK</v>
      </c>
      <c r="I87" s="78">
        <f>'Avail List'!I96</f>
        <v>55</v>
      </c>
      <c r="J87" s="75">
        <f>'Avail List'!J96</f>
        <v>0</v>
      </c>
      <c r="K87" s="76" t="s">
        <v>969</v>
      </c>
    </row>
    <row r="88" spans="1:11" x14ac:dyDescent="0.25">
      <c r="A88" s="76" t="str">
        <f>'Avail List'!E97</f>
        <v>ONISH1.5CAF</v>
      </c>
      <c r="B88" s="75" t="s">
        <v>15</v>
      </c>
      <c r="C88" s="75" t="str">
        <f>'Avail List'!A97</f>
        <v>ONION DUTCH SHALLOT</v>
      </c>
      <c r="D88" s="77" t="str">
        <f>'Avail List'!B97</f>
        <v>TR</v>
      </c>
      <c r="E88" s="77" t="str">
        <f>'Avail List'!C97</f>
        <v>1.5KG</v>
      </c>
      <c r="F88" s="75" t="str">
        <f>'Avail List'!D97</f>
        <v>CAFRESCO</v>
      </c>
      <c r="I88" s="78">
        <f>'Avail List'!I97</f>
        <v>11</v>
      </c>
      <c r="J88" s="75">
        <f>'Avail List'!J97</f>
        <v>0</v>
      </c>
      <c r="K88" s="76" t="s">
        <v>970</v>
      </c>
    </row>
    <row r="89" spans="1:11" x14ac:dyDescent="0.25">
      <c r="A89" s="76" t="str">
        <f>'Avail List'!E98</f>
        <v>ONI1CAF</v>
      </c>
      <c r="B89" s="75" t="s">
        <v>15</v>
      </c>
      <c r="C89" s="75" t="str">
        <f>'Avail List'!A98</f>
        <v>ONION BROWN 1KG</v>
      </c>
      <c r="D89" s="77" t="str">
        <f>'Avail List'!B98</f>
        <v xml:space="preserve">EA </v>
      </c>
      <c r="E89" s="77" t="str">
        <f>'Avail List'!C98</f>
        <v>1kg NET</v>
      </c>
      <c r="F89" s="75" t="str">
        <f>'Avail List'!D98</f>
        <v>CAFRESCO</v>
      </c>
      <c r="I89" s="78">
        <f>'Avail List'!I98</f>
        <v>4.2</v>
      </c>
      <c r="J89" s="75" t="str">
        <f>'Avail List'!J98</f>
        <v>10+ @ $3.90 EA</v>
      </c>
      <c r="K89" s="76" t="s">
        <v>971</v>
      </c>
    </row>
    <row r="90" spans="1:11" x14ac:dyDescent="0.25">
      <c r="A90" s="76" t="str">
        <f>'Avail List'!E99</f>
        <v>ONICAF</v>
      </c>
      <c r="B90" s="75" t="s">
        <v>15</v>
      </c>
      <c r="C90" s="75" t="str">
        <f>'Avail List'!A99</f>
        <v>ONION BROWN 10KG</v>
      </c>
      <c r="D90" s="77" t="str">
        <f>'Avail List'!B99</f>
        <v>BG</v>
      </c>
      <c r="E90" s="77" t="str">
        <f>'Avail List'!C99</f>
        <v>10KG</v>
      </c>
      <c r="F90" s="75" t="str">
        <f>'Avail List'!D99</f>
        <v>CAFRESCO</v>
      </c>
      <c r="I90" s="78">
        <f>'Avail List'!I99</f>
        <v>36</v>
      </c>
      <c r="J90" s="75">
        <f>'Avail List'!J99</f>
        <v>0</v>
      </c>
      <c r="K90" s="76" t="s">
        <v>972</v>
      </c>
    </row>
    <row r="91" spans="1:11" x14ac:dyDescent="0.25">
      <c r="A91" s="76" t="str">
        <f>'Avail List'!E100</f>
        <v>ONIBEN</v>
      </c>
      <c r="B91" s="75" t="s">
        <v>15</v>
      </c>
      <c r="C91" s="75" t="str">
        <f>'Avail List'!A100</f>
        <v>ONION BROWN 20KG</v>
      </c>
      <c r="D91" s="77" t="str">
        <f>'Avail List'!B100</f>
        <v>BG</v>
      </c>
      <c r="E91" s="77" t="str">
        <f>'Avail List'!C100</f>
        <v xml:space="preserve">20KG  </v>
      </c>
      <c r="F91" s="75" t="str">
        <f>'Avail List'!D100</f>
        <v>BIOFARMS</v>
      </c>
      <c r="I91" s="78">
        <f>'Avail List'!I100</f>
        <v>94</v>
      </c>
      <c r="J91" s="75">
        <f>'Avail List'!J100</f>
        <v>0</v>
      </c>
      <c r="K91" s="76" t="s">
        <v>973</v>
      </c>
    </row>
    <row r="92" spans="1:11" x14ac:dyDescent="0.25">
      <c r="A92" s="76" t="str">
        <f>'Avail List'!E101</f>
        <v>ONILCAF</v>
      </c>
      <c r="B92" s="75" t="s">
        <v>15</v>
      </c>
      <c r="C92" s="75" t="str">
        <f>'Avail List'!A101</f>
        <v>ONION BROWN LARGE 20KG</v>
      </c>
      <c r="D92" s="77" t="str">
        <f>'Avail List'!B101</f>
        <v>BG</v>
      </c>
      <c r="E92" s="77" t="str">
        <f>'Avail List'!C101</f>
        <v>20KG</v>
      </c>
      <c r="F92" s="75" t="str">
        <f>'Avail List'!D101</f>
        <v>CAFRESCO</v>
      </c>
      <c r="I92" s="78">
        <f>'Avail List'!I101</f>
        <v>39</v>
      </c>
      <c r="J92" s="75">
        <f>'Avail List'!J101</f>
        <v>0</v>
      </c>
      <c r="K92" s="76" t="s">
        <v>974</v>
      </c>
    </row>
    <row r="93" spans="1:11" x14ac:dyDescent="0.25">
      <c r="A93" s="76" t="str">
        <f>'Avail List'!E102</f>
        <v>ONIPBEN</v>
      </c>
      <c r="B93" s="75" t="s">
        <v>15</v>
      </c>
      <c r="C93" s="75" t="str">
        <f>'Avail List'!A102</f>
        <v>ONION BROWN PICKLING 20KG</v>
      </c>
      <c r="D93" s="77" t="str">
        <f>'Avail List'!B102</f>
        <v>BG</v>
      </c>
      <c r="E93" s="77" t="str">
        <f>'Avail List'!C102</f>
        <v xml:space="preserve">20KG  </v>
      </c>
      <c r="F93" s="75" t="str">
        <f>'Avail List'!D102</f>
        <v>BIOFARMS</v>
      </c>
      <c r="I93" s="78">
        <f>'Avail List'!I102</f>
        <v>54</v>
      </c>
      <c r="J93" s="75">
        <f>'Avail List'!J102</f>
        <v>0</v>
      </c>
      <c r="K93" s="76" t="s">
        <v>975</v>
      </c>
    </row>
    <row r="94" spans="1:11" x14ac:dyDescent="0.25">
      <c r="A94" s="76" t="str">
        <f>'Avail List'!E103</f>
        <v>ONIRCAF</v>
      </c>
      <c r="B94" s="75" t="s">
        <v>15</v>
      </c>
      <c r="C94" s="75" t="str">
        <f>'Avail List'!A103</f>
        <v>ONION RED 10KG</v>
      </c>
      <c r="D94" s="77" t="str">
        <f>'Avail List'!B103</f>
        <v>BG</v>
      </c>
      <c r="E94" s="77" t="str">
        <f>'Avail List'!C103</f>
        <v>10KG</v>
      </c>
      <c r="F94" s="75" t="str">
        <f>'Avail List'!D103</f>
        <v>CAFRESCO</v>
      </c>
      <c r="I94" s="78">
        <f>'Avail List'!I103</f>
        <v>42</v>
      </c>
      <c r="J94" s="75">
        <f>'Avail List'!J103</f>
        <v>0</v>
      </c>
      <c r="K94" s="76" t="s">
        <v>976</v>
      </c>
    </row>
    <row r="95" spans="1:11" x14ac:dyDescent="0.25">
      <c r="A95" s="76" t="str">
        <f>'Avail List'!E104</f>
        <v>ONIRBEN</v>
      </c>
      <c r="B95" s="75" t="s">
        <v>15</v>
      </c>
      <c r="C95" s="75" t="str">
        <f>'Avail List'!A104</f>
        <v>ONION RED 10KG</v>
      </c>
      <c r="D95" s="77" t="str">
        <f>'Avail List'!B104</f>
        <v>BG</v>
      </c>
      <c r="E95" s="77" t="str">
        <f>'Avail List'!C104</f>
        <v>10KG</v>
      </c>
      <c r="F95" s="75" t="str">
        <f>'Avail List'!D104</f>
        <v>BIOFARMS</v>
      </c>
      <c r="I95" s="78">
        <f>'Avail List'!I104</f>
        <v>67</v>
      </c>
      <c r="J95" s="75">
        <f>'Avail List'!J104</f>
        <v>0</v>
      </c>
      <c r="K95" s="76" t="s">
        <v>977</v>
      </c>
    </row>
    <row r="96" spans="1:11" x14ac:dyDescent="0.25">
      <c r="A96" s="76" t="str">
        <f>'Avail List'!E105</f>
        <v>ONIR1CAF</v>
      </c>
      <c r="B96" s="75" t="s">
        <v>15</v>
      </c>
      <c r="C96" s="75" t="str">
        <f>'Avail List'!A105</f>
        <v>ONION RED 1KG</v>
      </c>
      <c r="D96" s="77" t="str">
        <f>'Avail List'!B105</f>
        <v>BG</v>
      </c>
      <c r="E96" s="77" t="str">
        <f>'Avail List'!C105</f>
        <v>1KG</v>
      </c>
      <c r="F96" s="75" t="str">
        <f>'Avail List'!D105</f>
        <v>CAFRESCO</v>
      </c>
      <c r="I96" s="78">
        <f>'Avail List'!I105</f>
        <v>4.5</v>
      </c>
      <c r="J96" s="75" t="str">
        <f>'Avail List'!J105</f>
        <v>10+ @ $4.20 EA</v>
      </c>
      <c r="K96" s="76" t="s">
        <v>978</v>
      </c>
    </row>
    <row r="97" spans="1:11" x14ac:dyDescent="0.25">
      <c r="A97" s="76" t="str">
        <f>'Avail List'!E106</f>
        <v>ONIRLCAF</v>
      </c>
      <c r="B97" s="75" t="s">
        <v>15</v>
      </c>
      <c r="C97" s="75" t="str">
        <f>'Avail List'!A106</f>
        <v>ONION RED LARGE 10KG</v>
      </c>
      <c r="D97" s="77" t="str">
        <f>'Avail List'!B106</f>
        <v>BG</v>
      </c>
      <c r="E97" s="77" t="str">
        <f>'Avail List'!C106</f>
        <v>10KG</v>
      </c>
      <c r="F97" s="75" t="str">
        <f>'Avail List'!D106</f>
        <v>CAFRESCO</v>
      </c>
      <c r="I97" s="78">
        <f>'Avail List'!I106</f>
        <v>35</v>
      </c>
      <c r="J97" s="75">
        <f>'Avail List'!J106</f>
        <v>0</v>
      </c>
      <c r="K97" s="76" t="s">
        <v>979</v>
      </c>
    </row>
    <row r="98" spans="1:11" x14ac:dyDescent="0.25">
      <c r="A98" s="76" t="str">
        <f>'Avail List'!E107</f>
        <v>ONIRPBEN</v>
      </c>
      <c r="B98" s="75" t="s">
        <v>15</v>
      </c>
      <c r="C98" s="75" t="str">
        <f>'Avail List'!A107</f>
        <v>ONION RED PICKLING 20KG</v>
      </c>
      <c r="D98" s="77" t="str">
        <f>'Avail List'!B107</f>
        <v>BG</v>
      </c>
      <c r="E98" s="77" t="str">
        <f>'Avail List'!C107</f>
        <v>10KG</v>
      </c>
      <c r="F98" s="75" t="str">
        <f>'Avail List'!D107</f>
        <v>BIOFARMS</v>
      </c>
      <c r="I98" s="78">
        <f>'Avail List'!I107</f>
        <v>40</v>
      </c>
      <c r="J98" s="75">
        <f>'Avail List'!J107</f>
        <v>0</v>
      </c>
      <c r="K98" s="76" t="s">
        <v>980</v>
      </c>
    </row>
    <row r="99" spans="1:11" x14ac:dyDescent="0.25">
      <c r="A99" s="76" t="str">
        <f>'Avail List'!E108</f>
        <v>PARBAU</v>
      </c>
      <c r="B99" s="75" t="s">
        <v>15</v>
      </c>
      <c r="C99" s="75" t="str">
        <f>'Avail List'!A108</f>
        <v>PARSNIP</v>
      </c>
      <c r="D99" s="77" t="str">
        <f>'Avail List'!B108</f>
        <v xml:space="preserve">BX  </v>
      </c>
      <c r="E99" s="77" t="str">
        <f>'Avail List'!C108</f>
        <v>8KG</v>
      </c>
      <c r="F99" s="75" t="str">
        <f>'Avail List'!D108</f>
        <v>BAUERS</v>
      </c>
      <c r="I99" s="78">
        <f>'Avail List'!I108</f>
        <v>47</v>
      </c>
      <c r="J99" s="75" t="str">
        <f>'Avail List'!J108</f>
        <v>**NEW LINE - SPECIAL**</v>
      </c>
      <c r="K99" s="76" t="s">
        <v>981</v>
      </c>
    </row>
    <row r="100" spans="1:11" x14ac:dyDescent="0.25">
      <c r="A100" s="76" t="str">
        <f>'Avail List'!E109</f>
        <v>PEASPR PEAMAH</v>
      </c>
      <c r="B100" s="75" t="s">
        <v>15</v>
      </c>
      <c r="C100" s="75" t="str">
        <f>'Avail List'!A109</f>
        <v>PEAS SNOW</v>
      </c>
      <c r="D100" s="77" t="str">
        <f>'Avail List'!B109</f>
        <v>KG</v>
      </c>
      <c r="E100" s="77" t="str">
        <f>'Avail List'!C109</f>
        <v>PER KG</v>
      </c>
      <c r="F100" s="75" t="str">
        <f>'Avail List'!D109</f>
        <v>BEAUVISTA SPRINGLAKES</v>
      </c>
      <c r="I100" s="78">
        <f>'Avail List'!I109</f>
        <v>27</v>
      </c>
      <c r="J100" s="75">
        <f>'Avail List'!J109</f>
        <v>0</v>
      </c>
      <c r="K100" s="76" t="s">
        <v>982</v>
      </c>
    </row>
    <row r="101" spans="1:11" x14ac:dyDescent="0.25">
      <c r="A101" s="76" t="str">
        <f>'Avail List'!E110</f>
        <v>PEASMAH</v>
      </c>
      <c r="B101" s="75" t="s">
        <v>15</v>
      </c>
      <c r="C101" s="75" t="str">
        <f>'Avail List'!A110</f>
        <v>PEAS SUGARSNAP</v>
      </c>
      <c r="D101" s="77" t="str">
        <f>'Avail List'!B110</f>
        <v>KG</v>
      </c>
      <c r="E101" s="77" t="str">
        <f>'Avail List'!C110</f>
        <v>1KG</v>
      </c>
      <c r="F101" s="75" t="str">
        <f>'Avail List'!D110</f>
        <v>BEAUVISTA</v>
      </c>
      <c r="I101" s="78">
        <f>'Avail List'!I110</f>
        <v>29</v>
      </c>
      <c r="J101" s="75">
        <f>'Avail List'!J110</f>
        <v>0</v>
      </c>
      <c r="K101" s="76" t="s">
        <v>983</v>
      </c>
    </row>
    <row r="102" spans="1:11" x14ac:dyDescent="0.25">
      <c r="A102" s="76" t="str">
        <f>'Avail List'!E111</f>
        <v>POTDUXBEN POTDUXBAU POTDUXBLC</v>
      </c>
      <c r="B102" s="75" t="s">
        <v>15</v>
      </c>
      <c r="C102" s="75" t="str">
        <f>'Avail List'!A111</f>
        <v>POTATO DUTCH CREAM 20KG</v>
      </c>
      <c r="D102" s="77" t="str">
        <f>'Avail List'!B111</f>
        <v>BG</v>
      </c>
      <c r="E102" s="77" t="str">
        <f>'Avail List'!C111</f>
        <v xml:space="preserve">20KG  </v>
      </c>
      <c r="F102" s="75" t="str">
        <f>'Avail List'!D111</f>
        <v>BIOFARMS BAUER BLACK CROW</v>
      </c>
      <c r="I102" s="78">
        <f>'Avail List'!I111</f>
        <v>80</v>
      </c>
      <c r="J102" s="75">
        <f>'Avail List'!J111</f>
        <v>0</v>
      </c>
      <c r="K102" s="76" t="s">
        <v>984</v>
      </c>
    </row>
    <row r="103" spans="1:11" x14ac:dyDescent="0.25">
      <c r="A103" s="76" t="str">
        <f>'Avail List'!E112</f>
        <v>POTDU15WEG</v>
      </c>
      <c r="B103" s="75" t="s">
        <v>15</v>
      </c>
      <c r="C103" s="75" t="str">
        <f>'Avail List'!A112</f>
        <v>POTATO DUTCH CREAM 15KG</v>
      </c>
      <c r="D103" s="77" t="str">
        <f>'Avail List'!B112</f>
        <v>BX</v>
      </c>
      <c r="E103" s="77" t="str">
        <f>'Avail List'!C112</f>
        <v xml:space="preserve">15KG  </v>
      </c>
      <c r="F103" s="75" t="str">
        <f>'Avail List'!D112</f>
        <v>WEGNER</v>
      </c>
      <c r="I103" s="78">
        <f>'Avail List'!I112</f>
        <v>60</v>
      </c>
      <c r="J103" s="75">
        <f>'Avail List'!J112</f>
        <v>0</v>
      </c>
      <c r="K103" s="76" t="s">
        <v>985</v>
      </c>
    </row>
    <row r="104" spans="1:11" x14ac:dyDescent="0.25">
      <c r="A104" s="76" t="str">
        <f>'Avail List'!E113</f>
        <v>POTDULXLOC</v>
      </c>
      <c r="B104" s="75" t="s">
        <v>15</v>
      </c>
      <c r="C104" s="75" t="str">
        <f>'Avail List'!A113</f>
        <v>POTATO DUTCH CREAM LARGE 20KG</v>
      </c>
      <c r="D104" s="77" t="str">
        <f>'Avail List'!B113</f>
        <v>BG</v>
      </c>
      <c r="E104" s="77" t="str">
        <f>'Avail List'!C113</f>
        <v>20KG</v>
      </c>
      <c r="F104" s="75" t="str">
        <f>'Avail List'!D113</f>
        <v>LOCKYER VALLEY</v>
      </c>
      <c r="I104" s="78">
        <f>'Avail List'!I113</f>
        <v>67</v>
      </c>
      <c r="J104" s="75">
        <f>'Avail List'!J113</f>
        <v>0</v>
      </c>
      <c r="K104" s="76" t="s">
        <v>986</v>
      </c>
    </row>
    <row r="105" spans="1:11" x14ac:dyDescent="0.25">
      <c r="A105" s="76" t="str">
        <f>'Avail List'!E114</f>
        <v>POTDUW15BEN</v>
      </c>
      <c r="B105" s="75" t="s">
        <v>15</v>
      </c>
      <c r="C105" s="75" t="str">
        <f>'Avail List'!A114</f>
        <v>POTATO DUTCH CREAM WASHED 15KG</v>
      </c>
      <c r="D105" s="77" t="str">
        <f>'Avail List'!B114</f>
        <v>BX</v>
      </c>
      <c r="E105" s="77" t="str">
        <f>'Avail List'!C114</f>
        <v xml:space="preserve">15KG  </v>
      </c>
      <c r="F105" s="75" t="str">
        <f>'Avail List'!D114</f>
        <v>BIOFARMS BAUER BLACK CROW</v>
      </c>
      <c r="I105" s="78">
        <f>'Avail List'!I114</f>
        <v>55</v>
      </c>
      <c r="J105" s="75">
        <f>'Avail List'!J114</f>
        <v>0</v>
      </c>
      <c r="K105" s="76" t="s">
        <v>987</v>
      </c>
    </row>
    <row r="106" spans="1:11" x14ac:dyDescent="0.25">
      <c r="A106" s="76" t="str">
        <f>'Avail List'!E115</f>
        <v>POTDUC10BLC POTDUC10BAU</v>
      </c>
      <c r="B106" s="75" t="s">
        <v>15</v>
      </c>
      <c r="C106" s="75" t="str">
        <f>'Avail List'!A115</f>
        <v>POTATO DUTCH CREAM CHAT</v>
      </c>
      <c r="D106" s="77" t="str">
        <f>'Avail List'!B115</f>
        <v>BX</v>
      </c>
      <c r="E106" s="77" t="str">
        <f>'Avail List'!C115</f>
        <v>10KG</v>
      </c>
      <c r="F106" s="75" t="str">
        <f>'Avail List'!D115</f>
        <v>BLACK CROW BAUER</v>
      </c>
      <c r="I106" s="78">
        <f>'Avail List'!I115</f>
        <v>24</v>
      </c>
      <c r="J106" s="75">
        <f>'Avail List'!J115</f>
        <v>0</v>
      </c>
      <c r="K106" s="76" t="s">
        <v>988</v>
      </c>
    </row>
    <row r="107" spans="1:11" x14ac:dyDescent="0.25">
      <c r="A107" s="76" t="str">
        <f>'Avail List'!E116</f>
        <v>POTDUCWBEN POTDUCWBAU</v>
      </c>
      <c r="B107" s="75" t="s">
        <v>15</v>
      </c>
      <c r="C107" s="75" t="str">
        <f>'Avail List'!A116</f>
        <v>POTATO DUTCH CREAM CHAT WASHED</v>
      </c>
      <c r="D107" s="77" t="str">
        <f>'Avail List'!B116</f>
        <v>BX</v>
      </c>
      <c r="E107" s="77" t="str">
        <f>'Avail List'!C116</f>
        <v>10KG</v>
      </c>
      <c r="F107" s="75" t="str">
        <f>'Avail List'!D116</f>
        <v>BIOFARMS BAUER</v>
      </c>
      <c r="I107" s="78">
        <f>'Avail List'!I116</f>
        <v>34</v>
      </c>
      <c r="J107" s="75">
        <f>'Avail List'!J116</f>
        <v>0</v>
      </c>
      <c r="K107" s="76" t="s">
        <v>989</v>
      </c>
    </row>
    <row r="108" spans="1:11" x14ac:dyDescent="0.25">
      <c r="A108" s="76" t="str">
        <f>'Avail List'!E117</f>
        <v>POTKEXARA</v>
      </c>
      <c r="B108" s="75" t="s">
        <v>15</v>
      </c>
      <c r="C108" s="75" t="str">
        <f>'Avail List'!A117</f>
        <v>POTATO KESTRAL 15KG</v>
      </c>
      <c r="D108" s="77" t="str">
        <f>'Avail List'!B117</f>
        <v>BX</v>
      </c>
      <c r="E108" s="77" t="str">
        <f>'Avail List'!C117</f>
        <v xml:space="preserve">15KG  </v>
      </c>
      <c r="F108" s="75" t="str">
        <f>'Avail List'!D117</f>
        <v>ARAHURA</v>
      </c>
      <c r="I108" s="78">
        <f>'Avail List'!I117</f>
        <v>66</v>
      </c>
      <c r="J108" s="75">
        <f>'Avail List'!J117</f>
        <v>0</v>
      </c>
      <c r="K108" s="76" t="s">
        <v>990</v>
      </c>
    </row>
    <row r="109" spans="1:11" x14ac:dyDescent="0.25">
      <c r="A109" s="76" t="str">
        <f>'Avail List'!E118</f>
        <v>POTKBEN</v>
      </c>
      <c r="B109" s="75" t="s">
        <v>15</v>
      </c>
      <c r="C109" s="75" t="str">
        <f>'Avail List'!A118</f>
        <v xml:space="preserve">POTATO KIPFLER </v>
      </c>
      <c r="D109" s="77" t="str">
        <f>'Avail List'!B118</f>
        <v>BG</v>
      </c>
      <c r="E109" s="77" t="str">
        <f>'Avail List'!C118</f>
        <v>10KG</v>
      </c>
      <c r="F109" s="75" t="str">
        <f>'Avail List'!D118</f>
        <v>BIOFARMS</v>
      </c>
      <c r="I109" s="78">
        <f>'Avail List'!I118</f>
        <v>60</v>
      </c>
      <c r="J109" s="75">
        <f>'Avail List'!J118</f>
        <v>0</v>
      </c>
      <c r="K109" s="76" t="s">
        <v>991</v>
      </c>
    </row>
    <row r="110" spans="1:11" x14ac:dyDescent="0.25">
      <c r="A110" s="76" t="str">
        <f>'Avail List'!E119</f>
        <v>POTKWBEN</v>
      </c>
      <c r="B110" s="75" t="s">
        <v>15</v>
      </c>
      <c r="C110" s="75" t="str">
        <f>'Avail List'!A119</f>
        <v>POTATO KIPFLER WASHED 5KG</v>
      </c>
      <c r="D110" s="77" t="str">
        <f>'Avail List'!B119</f>
        <v xml:space="preserve">BX  </v>
      </c>
      <c r="E110" s="77" t="str">
        <f>'Avail List'!C119</f>
        <v>5KG</v>
      </c>
      <c r="F110" s="75" t="str">
        <f>'Avail List'!D119</f>
        <v>BIOFARMS</v>
      </c>
      <c r="I110" s="78">
        <f>'Avail List'!I119</f>
        <v>40</v>
      </c>
      <c r="J110" s="75">
        <f>'Avail List'!J119</f>
        <v>0</v>
      </c>
      <c r="K110" s="76" t="s">
        <v>992</v>
      </c>
    </row>
    <row r="111" spans="1:11" x14ac:dyDescent="0.25">
      <c r="A111" s="76" t="str">
        <f>'Avail List'!E120</f>
        <v>POTWSSPR</v>
      </c>
      <c r="B111" s="75" t="s">
        <v>15</v>
      </c>
      <c r="C111" s="75" t="str">
        <f>'Avail List'!A120</f>
        <v>POTATO WHITE STAR SEBAGO</v>
      </c>
      <c r="D111" s="77" t="str">
        <f>'Avail List'!B120</f>
        <v>BX</v>
      </c>
      <c r="E111" s="77" t="str">
        <f>'Avail List'!C120</f>
        <v>15KG</v>
      </c>
      <c r="F111" s="75" t="str">
        <f>'Avail List'!D120</f>
        <v>SPRING LAKES</v>
      </c>
      <c r="I111" s="78">
        <f>'Avail List'!I120</f>
        <v>53</v>
      </c>
      <c r="J111" s="75" t="str">
        <f>'Avail List'!J120</f>
        <v>**SPECIAL**</v>
      </c>
      <c r="K111" s="76" t="s">
        <v>993</v>
      </c>
    </row>
    <row r="112" spans="1:11" x14ac:dyDescent="0.25">
      <c r="A112" s="76" t="str">
        <f>'Avail List'!E121</f>
        <v>POT15WEG POT15LOC</v>
      </c>
      <c r="B112" s="75" t="s">
        <v>15</v>
      </c>
      <c r="C112" s="75" t="str">
        <f>'Avail List'!A121</f>
        <v xml:space="preserve">POTATO SEBAGO </v>
      </c>
      <c r="D112" s="77" t="str">
        <f>'Avail List'!B121</f>
        <v>BX</v>
      </c>
      <c r="E112" s="77" t="str">
        <f>'Avail List'!C121</f>
        <v>15KG</v>
      </c>
      <c r="F112" s="75" t="str">
        <f>'Avail List'!D121</f>
        <v>WEGNER LOCKYER</v>
      </c>
      <c r="I112" s="78">
        <f>'Avail List'!I121</f>
        <v>53</v>
      </c>
      <c r="J112" s="75" t="str">
        <f>'Avail List'!J121</f>
        <v>**SPECIAL**</v>
      </c>
      <c r="K112" s="76" t="s">
        <v>994</v>
      </c>
    </row>
    <row r="113" spans="1:13" x14ac:dyDescent="0.25">
      <c r="A113" s="76" t="str">
        <f>'Avail List'!E122</f>
        <v>POTXBLC</v>
      </c>
      <c r="B113" s="75" t="s">
        <v>15</v>
      </c>
      <c r="C113" s="75" t="str">
        <f>'Avail List'!A122</f>
        <v xml:space="preserve">POTATO SEBAGO </v>
      </c>
      <c r="D113" s="77" t="str">
        <f>'Avail List'!B122</f>
        <v>BG</v>
      </c>
      <c r="E113" s="77" t="str">
        <f>'Avail List'!C122</f>
        <v xml:space="preserve">20KG  </v>
      </c>
      <c r="F113" s="75" t="str">
        <f>'Avail List'!D122</f>
        <v>BLACK CROW</v>
      </c>
      <c r="I113" s="78">
        <f>'Avail List'!I122</f>
        <v>80</v>
      </c>
      <c r="J113" s="75">
        <f>'Avail List'!J122</f>
        <v>0</v>
      </c>
      <c r="K113" s="76" t="s">
        <v>995</v>
      </c>
    </row>
    <row r="114" spans="1:13" x14ac:dyDescent="0.25">
      <c r="A114" s="76" t="str">
        <f>'Avail List'!E123</f>
        <v>POTSWARA</v>
      </c>
      <c r="B114" s="75" t="s">
        <v>15</v>
      </c>
      <c r="C114" s="75" t="str">
        <f>'Avail List'!A123</f>
        <v>POTATO SEBAGO WASHED 15KG</v>
      </c>
      <c r="D114" s="77" t="str">
        <f>'Avail List'!B123</f>
        <v>BX</v>
      </c>
      <c r="E114" s="77" t="str">
        <f>'Avail List'!C123</f>
        <v>15KG</v>
      </c>
      <c r="F114" s="75" t="str">
        <f>'Avail List'!D123</f>
        <v>ARAHURA</v>
      </c>
      <c r="I114" s="78">
        <f>'Avail List'!I123</f>
        <v>52</v>
      </c>
      <c r="J114" s="75">
        <f>'Avail List'!J123</f>
        <v>0</v>
      </c>
      <c r="K114" s="76" t="s">
        <v>996</v>
      </c>
    </row>
    <row r="115" spans="1:13" x14ac:dyDescent="0.25">
      <c r="A115" s="76" t="str">
        <f>'Avail List'!E124</f>
        <v>POTCW15ARA</v>
      </c>
      <c r="B115" s="75" t="s">
        <v>15</v>
      </c>
      <c r="C115" s="75" t="str">
        <f>'Avail List'!A124</f>
        <v>POTATO SEBAGO CHAT WASHED 15KG</v>
      </c>
      <c r="D115" s="77" t="str">
        <f>'Avail List'!B124</f>
        <v>BX</v>
      </c>
      <c r="E115" s="77" t="str">
        <f>'Avail List'!C124</f>
        <v>15KG</v>
      </c>
      <c r="F115" s="75" t="str">
        <f>'Avail List'!D124</f>
        <v>ARAHURA</v>
      </c>
      <c r="I115" s="78">
        <f>'Avail List'!I124</f>
        <v>34</v>
      </c>
      <c r="J115" s="75">
        <f>'Avail List'!J124</f>
        <v>0</v>
      </c>
      <c r="K115" s="76" t="s">
        <v>997</v>
      </c>
    </row>
    <row r="116" spans="1:13" x14ac:dyDescent="0.25">
      <c r="A116" s="76" t="str">
        <f>'Avail List'!E125</f>
        <v>PUMBKAL</v>
      </c>
      <c r="B116" s="75" t="s">
        <v>15</v>
      </c>
      <c r="C116" s="75" t="str">
        <f>'Avail List'!A125</f>
        <v>PUMPKIN BUTTERNUT</v>
      </c>
      <c r="D116" s="77" t="str">
        <f>'Avail List'!B125</f>
        <v>KG</v>
      </c>
      <c r="E116" s="77" t="str">
        <f>'Avail List'!C125</f>
        <v>PER KG</v>
      </c>
      <c r="F116" s="75" t="str">
        <f>'Avail List'!D125</f>
        <v>KALFRESH</v>
      </c>
      <c r="I116" s="78">
        <f>'Avail List'!I125</f>
        <v>2.6</v>
      </c>
      <c r="J116" s="75" t="str">
        <f>'Avail List'!J125</f>
        <v>20KG+ @ $2.40KG</v>
      </c>
      <c r="K116" s="76" t="s">
        <v>998</v>
      </c>
    </row>
    <row r="117" spans="1:13" x14ac:dyDescent="0.25">
      <c r="A117" s="76" t="str">
        <f>'Avail List'!E126</f>
        <v>PUMSUT PUMORA PUMBLW</v>
      </c>
      <c r="B117" s="75" t="s">
        <v>15</v>
      </c>
      <c r="C117" s="75" t="str">
        <f>'Avail List'!A126</f>
        <v>PUMPKIN JAP</v>
      </c>
      <c r="D117" s="77" t="str">
        <f>'Avail List'!B126</f>
        <v>KG</v>
      </c>
      <c r="E117" s="77" t="str">
        <f>'Avail List'!C126</f>
        <v>PER KG</v>
      </c>
      <c r="F117" s="75" t="str">
        <f>'Avail List'!D126</f>
        <v>SUTTON ORGANICAG BARLOW</v>
      </c>
      <c r="I117" s="78">
        <f>'Avail List'!I126</f>
        <v>1.8</v>
      </c>
      <c r="J117" s="75" t="str">
        <f>'Avail List'!J126</f>
        <v>20KG+ @ $1.70KG</v>
      </c>
      <c r="K117" s="76" t="s">
        <v>999</v>
      </c>
    </row>
    <row r="118" spans="1:13" x14ac:dyDescent="0.25">
      <c r="A118" s="76" t="str">
        <f>'Avail List'!E127</f>
        <v>PUMJCAF</v>
      </c>
      <c r="B118" s="75" t="s">
        <v>15</v>
      </c>
      <c r="C118" s="75" t="str">
        <f>'Avail List'!A127</f>
        <v>PUMPKIN GREY</v>
      </c>
      <c r="D118" s="77" t="str">
        <f>'Avail List'!B127</f>
        <v>KG</v>
      </c>
      <c r="E118" s="77" t="str">
        <f>'Avail List'!C127</f>
        <v>PER KG</v>
      </c>
      <c r="F118" s="75" t="str">
        <f>'Avail List'!D127</f>
        <v>CAFRESCO</v>
      </c>
      <c r="I118" s="78">
        <f>'Avail List'!I127</f>
        <v>1.5</v>
      </c>
      <c r="J118" s="75" t="str">
        <f>'Avail List'!J127</f>
        <v>20KG+ @ $1.40KG</v>
      </c>
      <c r="K118" s="76" t="s">
        <v>1000</v>
      </c>
    </row>
    <row r="119" spans="1:13" s="79" customFormat="1" x14ac:dyDescent="0.25">
      <c r="A119" s="76" t="str">
        <f>'Avail List'!E128</f>
        <v>RADPEN RADCHA RADJAR</v>
      </c>
      <c r="B119" s="75" t="s">
        <v>15</v>
      </c>
      <c r="C119" s="75" t="str">
        <f>'Avail List'!A128</f>
        <v>RADISH</v>
      </c>
      <c r="D119" s="77" t="str">
        <f>'Avail List'!B128</f>
        <v xml:space="preserve">EA </v>
      </c>
      <c r="E119" s="77" t="str">
        <f>'Avail List'!C128</f>
        <v xml:space="preserve">1BN  </v>
      </c>
      <c r="F119" s="75" t="str">
        <f>'Avail List'!D128</f>
        <v>PENINSULA FIFTH ACRE JARCMAN</v>
      </c>
      <c r="G119" s="75"/>
      <c r="H119" s="75"/>
      <c r="I119" s="78">
        <f>'Avail List'!I128</f>
        <v>3.4</v>
      </c>
      <c r="J119" s="75">
        <f>'Avail List'!J128</f>
        <v>0</v>
      </c>
      <c r="K119" s="76" t="s">
        <v>1001</v>
      </c>
      <c r="L119" s="75"/>
      <c r="M119" s="75"/>
    </row>
    <row r="120" spans="1:13" s="79" customFormat="1" x14ac:dyDescent="0.25">
      <c r="A120" s="76" t="str">
        <f>'Avail List'!E129</f>
        <v>SILPEN  SILCOO SILCAF</v>
      </c>
      <c r="B120" s="75" t="s">
        <v>15</v>
      </c>
      <c r="C120" s="75" t="str">
        <f>'Avail List'!A129</f>
        <v>SILVERBEET</v>
      </c>
      <c r="D120" s="77" t="str">
        <f>'Avail List'!B129</f>
        <v>EA</v>
      </c>
      <c r="E120" s="77" t="str">
        <f>'Avail List'!C129</f>
        <v xml:space="preserve">1BN  </v>
      </c>
      <c r="F120" s="75" t="str">
        <f>'Avail List'!D129</f>
        <v>PENINSULA COOLIBAH CAFRESCO</v>
      </c>
      <c r="G120" s="75"/>
      <c r="H120" s="75"/>
      <c r="I120" s="78">
        <f>'Avail List'!I129</f>
        <v>3.6</v>
      </c>
      <c r="J120" s="75" t="str">
        <f>'Avail List'!J129</f>
        <v>10+ @ $3.40 BN</v>
      </c>
      <c r="K120" s="76" t="s">
        <v>1002</v>
      </c>
      <c r="L120" s="75"/>
      <c r="M120" s="75"/>
    </row>
    <row r="121" spans="1:13" s="79" customFormat="1" x14ac:dyDescent="0.25">
      <c r="A121" s="76" t="str">
        <f>'Avail List'!E130</f>
        <v>CHAPEN CHACOO</v>
      </c>
      <c r="B121" s="75" t="s">
        <v>15</v>
      </c>
      <c r="C121" s="75" t="str">
        <f>'Avail List'!A130</f>
        <v>CHARD</v>
      </c>
      <c r="D121" s="77" t="str">
        <f>'Avail List'!B130</f>
        <v>EA</v>
      </c>
      <c r="E121" s="77" t="str">
        <f>'Avail List'!C130</f>
        <v xml:space="preserve">1BN  </v>
      </c>
      <c r="F121" s="75" t="str">
        <f>'Avail List'!D130</f>
        <v>PENINSULA COOLIBAH</v>
      </c>
      <c r="G121" s="75"/>
      <c r="H121" s="75"/>
      <c r="I121" s="78">
        <f>'Avail List'!I130</f>
        <v>3.6</v>
      </c>
      <c r="J121" s="75" t="str">
        <f>'Avail List'!J130</f>
        <v>10+ @ $3.40 BN</v>
      </c>
      <c r="K121" s="76" t="s">
        <v>1003</v>
      </c>
      <c r="L121" s="75"/>
      <c r="M121" s="75"/>
    </row>
    <row r="122" spans="1:13" s="79" customFormat="1" x14ac:dyDescent="0.25">
      <c r="A122" s="76" t="str">
        <f>'Avail List'!E131</f>
        <v>SQUPIT</v>
      </c>
      <c r="B122" s="75" t="s">
        <v>15</v>
      </c>
      <c r="C122" s="75" t="str">
        <f>'Avail List'!A131</f>
        <v>SQUASH</v>
      </c>
      <c r="D122" s="77" t="str">
        <f>'Avail List'!B131</f>
        <v xml:space="preserve">BX  </v>
      </c>
      <c r="E122" s="77" t="str">
        <f>'Avail List'!C131</f>
        <v>4KG</v>
      </c>
      <c r="F122" s="75" t="str">
        <f>'Avail List'!D131</f>
        <v>MOORLAND</v>
      </c>
      <c r="G122" s="75"/>
      <c r="H122" s="75"/>
      <c r="I122" s="78">
        <f>'Avail List'!I131</f>
        <v>40</v>
      </c>
      <c r="J122" s="75">
        <f>'Avail List'!J131</f>
        <v>0</v>
      </c>
      <c r="K122" s="76" t="s">
        <v>1004</v>
      </c>
      <c r="L122" s="75"/>
      <c r="M122" s="75"/>
    </row>
    <row r="123" spans="1:13" x14ac:dyDescent="0.25">
      <c r="A123" s="76" t="str">
        <f>'Avail List'!E132</f>
        <v xml:space="preserve">PSWXSMA </v>
      </c>
      <c r="B123" s="75" t="s">
        <v>15</v>
      </c>
      <c r="C123" s="75" t="str">
        <f>'Avail List'!A132</f>
        <v xml:space="preserve">SWEET POTATO GOLD </v>
      </c>
      <c r="D123" s="77" t="str">
        <f>'Avail List'!B132</f>
        <v>BX</v>
      </c>
      <c r="E123" s="77" t="str">
        <f>'Avail List'!C132</f>
        <v>15KG</v>
      </c>
      <c r="F123" s="75" t="str">
        <f>'Avail List'!D132</f>
        <v xml:space="preserve">CUDGEN </v>
      </c>
      <c r="I123" s="78">
        <f>'Avail List'!I132</f>
        <v>86</v>
      </c>
      <c r="J123" s="75">
        <f>'Avail List'!J132</f>
        <v>0</v>
      </c>
      <c r="K123" s="76" t="s">
        <v>1005</v>
      </c>
    </row>
    <row r="124" spans="1:13" x14ac:dyDescent="0.25">
      <c r="A124" s="76" t="str">
        <f>'Avail List'!E133</f>
        <v>PSWHAR PSWMAH</v>
      </c>
      <c r="B124" s="75" t="s">
        <v>15</v>
      </c>
      <c r="C124" s="75" t="str">
        <f>'Avail List'!A133</f>
        <v xml:space="preserve">SWEET POTATO GOLD </v>
      </c>
      <c r="D124" s="77" t="str">
        <f>'Avail List'!B133</f>
        <v>BX</v>
      </c>
      <c r="E124" s="77" t="str">
        <f>'Avail List'!C133</f>
        <v>15KG</v>
      </c>
      <c r="F124" s="75" t="str">
        <f>'Avail List'!D133</f>
        <v>MTWHITESTONE BEAUVISTA</v>
      </c>
      <c r="I124" s="78">
        <f>'Avail List'!I133</f>
        <v>74</v>
      </c>
      <c r="J124" s="75">
        <f>'Avail List'!J133</f>
        <v>0</v>
      </c>
      <c r="K124" s="76" t="s">
        <v>1006</v>
      </c>
    </row>
    <row r="125" spans="1:13" x14ac:dyDescent="0.25">
      <c r="A125" s="76" t="str">
        <f>'Avail List'!E134</f>
        <v>PSWXSMAH</v>
      </c>
      <c r="B125" s="75" t="s">
        <v>15</v>
      </c>
      <c r="C125" s="75" t="str">
        <f>'Avail List'!A134</f>
        <v>SWEET POTATO GOLD EXTRA SMALL</v>
      </c>
      <c r="D125" s="77" t="str">
        <f>'Avail List'!B134</f>
        <v>BX</v>
      </c>
      <c r="E125" s="77" t="str">
        <f>'Avail List'!C134</f>
        <v>15KG</v>
      </c>
      <c r="F125" s="75" t="str">
        <f>'Avail List'!D134</f>
        <v>BEAUVISTA</v>
      </c>
      <c r="I125" s="78">
        <f>'Avail List'!I134</f>
        <v>60</v>
      </c>
      <c r="J125" s="75">
        <f>'Avail List'!J134</f>
        <v>0</v>
      </c>
      <c r="K125" s="76" t="s">
        <v>1007</v>
      </c>
    </row>
    <row r="126" spans="1:13" x14ac:dyDescent="0.25">
      <c r="A126" s="76" t="str">
        <f>'Avail List'!E135</f>
        <v>PSWLMAH</v>
      </c>
      <c r="B126" s="75" t="s">
        <v>15</v>
      </c>
      <c r="C126" s="75" t="str">
        <f>'Avail List'!A135</f>
        <v>SWEET POTATO GOLD LARGE</v>
      </c>
      <c r="D126" s="77" t="str">
        <f>'Avail List'!B135</f>
        <v>BX</v>
      </c>
      <c r="E126" s="77" t="str">
        <f>'Avail List'!C135</f>
        <v>15KG</v>
      </c>
      <c r="F126" s="75" t="str">
        <f>'Avail List'!D135</f>
        <v>BEAUVISTA</v>
      </c>
      <c r="I126" s="78">
        <f>'Avail List'!I135</f>
        <v>60</v>
      </c>
      <c r="J126" s="75">
        <f>'Avail List'!J135</f>
        <v>0</v>
      </c>
      <c r="K126" s="76" t="s">
        <v>1008</v>
      </c>
    </row>
    <row r="127" spans="1:13" x14ac:dyDescent="0.25">
      <c r="A127" s="76" t="str">
        <f>'Avail List'!E136</f>
        <v>PSWRSPR PSWRMAH</v>
      </c>
      <c r="B127" s="75" t="s">
        <v>15</v>
      </c>
      <c r="C127" s="75" t="str">
        <f>'Avail List'!A136</f>
        <v xml:space="preserve">SWEET POTATO RED </v>
      </c>
      <c r="D127" s="77" t="str">
        <f>'Avail List'!B136</f>
        <v>BX</v>
      </c>
      <c r="E127" s="77" t="str">
        <f>'Avail List'!C136</f>
        <v>15KG</v>
      </c>
      <c r="F127" s="75" t="str">
        <f>'Avail List'!D136</f>
        <v>SPRING LAKES BEAUVISTA</v>
      </c>
      <c r="I127" s="78">
        <f>'Avail List'!I136</f>
        <v>87</v>
      </c>
      <c r="J127" s="75">
        <f>'Avail List'!J136</f>
        <v>0</v>
      </c>
      <c r="K127" s="76" t="s">
        <v>1009</v>
      </c>
    </row>
    <row r="128" spans="1:13" x14ac:dyDescent="0.25">
      <c r="A128" s="76" t="str">
        <f>'Avail List'!E137</f>
        <v>TOMCSPR</v>
      </c>
      <c r="B128" s="75" t="s">
        <v>15</v>
      </c>
      <c r="C128" s="75" t="str">
        <f>'Avail List'!A137</f>
        <v>TOMATO CHERRY 200G</v>
      </c>
      <c r="D128" s="77" t="str">
        <f>'Avail List'!B137</f>
        <v xml:space="preserve">EA </v>
      </c>
      <c r="E128" s="77" t="str">
        <f>'Avail List'!C137</f>
        <v xml:space="preserve">1PT </v>
      </c>
      <c r="F128" s="75" t="str">
        <f>'Avail List'!D137</f>
        <v>SPRING LAKES</v>
      </c>
      <c r="I128" s="78">
        <f>'Avail List'!I137</f>
        <v>3.3</v>
      </c>
      <c r="J128" s="75" t="str">
        <f>'Avail List'!J137</f>
        <v>**SPECIAL**</v>
      </c>
      <c r="K128" s="76" t="s">
        <v>1010</v>
      </c>
    </row>
    <row r="129" spans="1:11" x14ac:dyDescent="0.25">
      <c r="A129" s="76" t="str">
        <f>'Avail List'!E138</f>
        <v>TOMBLA</v>
      </c>
      <c r="B129" s="75" t="s">
        <v>15</v>
      </c>
      <c r="C129" s="75" t="str">
        <f>'Avail List'!A138</f>
        <v xml:space="preserve">TOMATO GOURMET </v>
      </c>
      <c r="D129" s="77" t="str">
        <f>'Avail List'!B138</f>
        <v>BX</v>
      </c>
      <c r="E129" s="77" t="str">
        <f>'Avail List'!C138</f>
        <v>10KG</v>
      </c>
      <c r="F129" s="75" t="str">
        <f>'Avail List'!D138</f>
        <v>ISIS RIVER</v>
      </c>
      <c r="I129" s="78">
        <f>'Avail List'!I138</f>
        <v>40</v>
      </c>
      <c r="J129" s="75">
        <f>'Avail List'!J138</f>
        <v>0</v>
      </c>
      <c r="K129" s="76" t="s">
        <v>1011</v>
      </c>
    </row>
    <row r="130" spans="1:11" x14ac:dyDescent="0.25">
      <c r="A130" s="76" t="str">
        <f>'Avail List'!E139</f>
        <v>TOMSUN</v>
      </c>
      <c r="B130" s="75" t="s">
        <v>15</v>
      </c>
      <c r="C130" s="75" t="str">
        <f>'Avail List'!A139</f>
        <v xml:space="preserve">TOMATO GOURMET </v>
      </c>
      <c r="D130" s="77" t="str">
        <f>'Avail List'!B139</f>
        <v>BX</v>
      </c>
      <c r="E130" s="77" t="str">
        <f>'Avail List'!C139</f>
        <v>9KG</v>
      </c>
      <c r="F130" s="75" t="str">
        <f>'Avail List'!D139</f>
        <v>SUNUP</v>
      </c>
      <c r="I130" s="78">
        <f>'Avail List'!I139</f>
        <v>39</v>
      </c>
      <c r="J130" s="75">
        <f>'Avail List'!J139</f>
        <v>0</v>
      </c>
      <c r="K130" s="76" t="s">
        <v>1012</v>
      </c>
    </row>
    <row r="131" spans="1:11" x14ac:dyDescent="0.25">
      <c r="A131" s="76" t="str">
        <f>'Avail List'!E140</f>
        <v>TOMHSUN</v>
      </c>
      <c r="B131" s="75" t="s">
        <v>15</v>
      </c>
      <c r="C131" s="75" t="str">
        <f>'Avail List'!A140</f>
        <v>TOMATO HEIRLOOM</v>
      </c>
      <c r="D131" s="77" t="str">
        <f>'Avail List'!B140</f>
        <v>BX</v>
      </c>
      <c r="E131" s="77" t="str">
        <f>'Avail List'!C140</f>
        <v>5KG</v>
      </c>
      <c r="F131" s="75" t="str">
        <f>'Avail List'!D140</f>
        <v>SUNUP</v>
      </c>
      <c r="I131" s="78">
        <f>'Avail List'!I140</f>
        <v>47</v>
      </c>
      <c r="J131" s="75">
        <f>'Avail List'!J140</f>
        <v>0</v>
      </c>
      <c r="K131" s="76" t="s">
        <v>1013</v>
      </c>
    </row>
    <row r="132" spans="1:11" x14ac:dyDescent="0.25">
      <c r="A132" s="76" t="str">
        <f>'Avail List'!E141</f>
        <v>TOMRPIT</v>
      </c>
      <c r="B132" s="75" t="s">
        <v>15</v>
      </c>
      <c r="C132" s="75" t="str">
        <f>'Avail List'!A141</f>
        <v>TOMATO ROMA</v>
      </c>
      <c r="D132" s="77" t="str">
        <f>'Avail List'!B141</f>
        <v>BX</v>
      </c>
      <c r="E132" s="77" t="str">
        <f>'Avail List'!C141</f>
        <v>10KG</v>
      </c>
      <c r="F132" s="75" t="str">
        <f>'Avail List'!D141</f>
        <v>MOORLAND</v>
      </c>
      <c r="I132" s="78">
        <f>'Avail List'!I141</f>
        <v>54</v>
      </c>
      <c r="J132" s="75">
        <f>'Avail List'!J141</f>
        <v>0</v>
      </c>
      <c r="K132" s="76" t="s">
        <v>1014</v>
      </c>
    </row>
    <row r="133" spans="1:11" x14ac:dyDescent="0.25">
      <c r="A133" s="76" t="str">
        <f>'Avail List'!E142</f>
        <v>TUMBEL TUMNIC</v>
      </c>
      <c r="B133" s="75" t="s">
        <v>15</v>
      </c>
      <c r="C133" s="75" t="str">
        <f>'Avail List'!A142</f>
        <v>TURMERIC</v>
      </c>
      <c r="D133" s="77" t="str">
        <f>'Avail List'!B142</f>
        <v>KG</v>
      </c>
      <c r="E133" s="77" t="str">
        <f>'Avail List'!C142</f>
        <v>PER KG</v>
      </c>
      <c r="F133" s="75" t="str">
        <f>'Avail List'!D142</f>
        <v>BELLBIRD NICOLSON</v>
      </c>
      <c r="I133" s="78">
        <f>'Avail List'!I142</f>
        <v>23</v>
      </c>
      <c r="J133" s="75" t="str">
        <f>'Avail List'!J142</f>
        <v>**SPECIAL**</v>
      </c>
      <c r="K133" s="76" t="s">
        <v>1015</v>
      </c>
    </row>
    <row r="134" spans="1:11" x14ac:dyDescent="0.25">
      <c r="A134" s="76" t="str">
        <f>'Avail List'!E143</f>
        <v>ZUCBLW ZUCBLA ZUCORA</v>
      </c>
      <c r="B134" s="75" t="s">
        <v>15</v>
      </c>
      <c r="C134" s="75" t="str">
        <f>'Avail List'!A143</f>
        <v>ZUCCHINI</v>
      </c>
      <c r="D134" s="77" t="str">
        <f>'Avail List'!B143</f>
        <v>BX</v>
      </c>
      <c r="E134" s="77" t="str">
        <f>'Avail List'!C143</f>
        <v>10KG</v>
      </c>
      <c r="F134" s="75" t="str">
        <f>'Avail List'!D143</f>
        <v>BARLOW ISIS RIVER ORGANIC AG</v>
      </c>
      <c r="I134" s="78">
        <f>'Avail List'!I143</f>
        <v>49</v>
      </c>
      <c r="J134" s="75" t="str">
        <f>'Avail List'!J143</f>
        <v>FRESH STOCK</v>
      </c>
      <c r="K134" s="76" t="s">
        <v>1016</v>
      </c>
    </row>
    <row r="135" spans="1:11" x14ac:dyDescent="0.25">
      <c r="A135" s="76" t="str">
        <f>'Avail List'!E144</f>
        <v>ZUCRPIT</v>
      </c>
      <c r="B135" s="75" t="s">
        <v>15</v>
      </c>
      <c r="C135" s="75" t="str">
        <f>'Avail List'!A144</f>
        <v>ZUCCHINI LEBANESE</v>
      </c>
      <c r="D135" s="77" t="str">
        <f>'Avail List'!B144</f>
        <v>BX</v>
      </c>
      <c r="E135" s="77" t="str">
        <f>'Avail List'!C144</f>
        <v>5KG</v>
      </c>
      <c r="F135" s="75" t="str">
        <f>'Avail List'!D144</f>
        <v>MOORLAND</v>
      </c>
      <c r="I135" s="78">
        <f>'Avail List'!I144</f>
        <v>47</v>
      </c>
      <c r="J135" s="75">
        <f>'Avail List'!J144</f>
        <v>0</v>
      </c>
      <c r="K135" s="76" t="s">
        <v>1017</v>
      </c>
    </row>
    <row r="136" spans="1:11" x14ac:dyDescent="0.25">
      <c r="A136" s="76" t="str">
        <f>'Avail List'!E145</f>
        <v>FRUIT</v>
      </c>
      <c r="B136" s="75" t="s">
        <v>15</v>
      </c>
      <c r="C136" s="75">
        <f>'Avail List'!A145</f>
        <v>0</v>
      </c>
      <c r="D136" s="77">
        <f>'Avail List'!B145</f>
        <v>0</v>
      </c>
      <c r="E136" s="77">
        <f>'Avail List'!C145</f>
        <v>0</v>
      </c>
      <c r="F136" s="75">
        <f>'Avail List'!D145</f>
        <v>0</v>
      </c>
      <c r="I136" s="78">
        <f>'Avail List'!I145</f>
        <v>0</v>
      </c>
      <c r="J136" s="75">
        <f>'Avail List'!J145</f>
        <v>0</v>
      </c>
      <c r="K136" s="76" t="s">
        <v>1018</v>
      </c>
    </row>
    <row r="137" spans="1:11" x14ac:dyDescent="0.25">
      <c r="A137" s="76" t="str">
        <f>'Avail List'!E146</f>
        <v>CODE</v>
      </c>
      <c r="B137" s="75" t="s">
        <v>15</v>
      </c>
      <c r="C137" s="75" t="str">
        <f>'Avail List'!A146</f>
        <v>PRODUCT</v>
      </c>
      <c r="D137" s="77" t="str">
        <f>'Avail List'!B146</f>
        <v>SIZE</v>
      </c>
      <c r="E137" s="77">
        <f>'Avail List'!C146</f>
        <v>0</v>
      </c>
      <c r="F137" s="75" t="str">
        <f>'Avail List'!D146</f>
        <v>GROWER</v>
      </c>
      <c r="I137" s="78" t="str">
        <f>'Avail List'!I146</f>
        <v>PRICE</v>
      </c>
      <c r="J137" s="75" t="str">
        <f>'Avail List'!J146</f>
        <v>COMMENTS / SPECIFIC REQUESTS</v>
      </c>
      <c r="K137" s="76" t="s">
        <v>1019</v>
      </c>
    </row>
    <row r="138" spans="1:11" x14ac:dyDescent="0.25">
      <c r="A138" s="76" t="str">
        <f>'Avail List'!E147</f>
        <v>APPBRFRS</v>
      </c>
      <c r="B138" s="75" t="s">
        <v>15</v>
      </c>
      <c r="C138" s="75" t="str">
        <f>'Avail List'!A147</f>
        <v>APPLE BRAEBURN (JAZZ) 15KG</v>
      </c>
      <c r="D138" s="77" t="str">
        <f>'Avail List'!B147</f>
        <v>BX</v>
      </c>
      <c r="E138" s="77" t="str">
        <f>'Avail List'!C147</f>
        <v>15KG</v>
      </c>
      <c r="F138" s="75" t="str">
        <f>'Avail List'!D147</f>
        <v>FOREST ORCHARDS</v>
      </c>
      <c r="I138" s="78">
        <f>'Avail List'!I147</f>
        <v>93</v>
      </c>
      <c r="J138" s="75">
        <f>'Avail List'!J147</f>
        <v>0</v>
      </c>
      <c r="K138" s="76" t="s">
        <v>1020</v>
      </c>
    </row>
    <row r="139" spans="1:11" x14ac:dyDescent="0.25">
      <c r="A139" s="76" t="str">
        <f>'Avail List'!E148</f>
        <v>APPFXPOZ</v>
      </c>
      <c r="B139" s="75" t="s">
        <v>15</v>
      </c>
      <c r="C139" s="75" t="str">
        <f>'Avail List'!A148</f>
        <v>APPLE FUJI 12KG</v>
      </c>
      <c r="D139" s="77" t="str">
        <f>'Avail List'!B148</f>
        <v>BX</v>
      </c>
      <c r="E139" s="77" t="str">
        <f>'Avail List'!C148</f>
        <v>12KG</v>
      </c>
      <c r="F139" s="75" t="str">
        <f>'Avail List'!D148</f>
        <v>MCMAHON (POZIERES)</v>
      </c>
      <c r="I139" s="78">
        <f>'Avail List'!I148</f>
        <v>86</v>
      </c>
      <c r="J139" s="75">
        <f>'Avail List'!J148</f>
        <v>0</v>
      </c>
      <c r="K139" s="76" t="s">
        <v>1021</v>
      </c>
    </row>
    <row r="140" spans="1:11" x14ac:dyDescent="0.25">
      <c r="A140" s="76" t="str">
        <f>'Avail List'!E149</f>
        <v>APPGXPOZ</v>
      </c>
      <c r="B140" s="75" t="s">
        <v>15</v>
      </c>
      <c r="C140" s="75" t="str">
        <f>'Avail List'!A149</f>
        <v>APPLE GALA 12KG</v>
      </c>
      <c r="D140" s="77" t="str">
        <f>'Avail List'!B149</f>
        <v>BX</v>
      </c>
      <c r="E140" s="77" t="str">
        <f>'Avail List'!C149</f>
        <v>12KG</v>
      </c>
      <c r="F140" s="75" t="str">
        <f>'Avail List'!D149</f>
        <v>MCMAHON (POZIERES)</v>
      </c>
      <c r="I140" s="78">
        <f>'Avail List'!I149</f>
        <v>82</v>
      </c>
      <c r="J140" s="75">
        <f>'Avail List'!J149</f>
        <v>0</v>
      </c>
      <c r="K140" s="76" t="s">
        <v>1022</v>
      </c>
    </row>
    <row r="141" spans="1:11" x14ac:dyDescent="0.25">
      <c r="A141" s="76" t="str">
        <f>'Avail List'!E150</f>
        <v>APPG9POZ</v>
      </c>
      <c r="B141" s="75" t="s">
        <v>15</v>
      </c>
      <c r="C141" s="75" t="str">
        <f>'Avail List'!A150</f>
        <v>APPLE GALA 9KG</v>
      </c>
      <c r="D141" s="77" t="str">
        <f>'Avail List'!B150</f>
        <v>BX</v>
      </c>
      <c r="E141" s="77" t="str">
        <f>'Avail List'!C150</f>
        <v xml:space="preserve">9KG  </v>
      </c>
      <c r="F141" s="75" t="str">
        <f>'Avail List'!D150</f>
        <v>MCMAHON (POZIERES)</v>
      </c>
      <c r="I141" s="78">
        <f>'Avail List'!I150</f>
        <v>56</v>
      </c>
      <c r="J141" s="75">
        <f>'Avail List'!J150</f>
        <v>0</v>
      </c>
      <c r="K141" s="76" t="s">
        <v>1023</v>
      </c>
    </row>
    <row r="142" spans="1:11" x14ac:dyDescent="0.25">
      <c r="A142" s="76" t="str">
        <f>'Avail List'!E151</f>
        <v>APPGS9POZ</v>
      </c>
      <c r="B142" s="75" t="s">
        <v>15</v>
      </c>
      <c r="C142" s="75" t="str">
        <f>'Avail List'!A151</f>
        <v>APPLE GRANNY SMITH 9KG</v>
      </c>
      <c r="D142" s="77" t="str">
        <f>'Avail List'!B151</f>
        <v>BX</v>
      </c>
      <c r="E142" s="77" t="str">
        <f>'Avail List'!C151</f>
        <v>9KG</v>
      </c>
      <c r="F142" s="75" t="str">
        <f>'Avail List'!D151</f>
        <v>MCMAHON (POZIERES)</v>
      </c>
      <c r="I142" s="78">
        <f>'Avail List'!I151</f>
        <v>58</v>
      </c>
      <c r="J142" s="75">
        <f>'Avail List'!J151</f>
        <v>0</v>
      </c>
      <c r="K142" s="76" t="s">
        <v>1024</v>
      </c>
    </row>
    <row r="143" spans="1:11" x14ac:dyDescent="0.25">
      <c r="A143" s="76" t="str">
        <f>'Avail List'!E152</f>
        <v>APPGSXPOZ</v>
      </c>
      <c r="B143" s="75" t="s">
        <v>15</v>
      </c>
      <c r="C143" s="75" t="str">
        <f>'Avail List'!A152</f>
        <v>APPLE GRANNY SMITH 12KG</v>
      </c>
      <c r="D143" s="77" t="str">
        <f>'Avail List'!B152</f>
        <v>BX</v>
      </c>
      <c r="E143" s="77" t="str">
        <f>'Avail List'!C152</f>
        <v>12KG</v>
      </c>
      <c r="F143" s="75" t="str">
        <f>'Avail List'!D152</f>
        <v>MCMAHON (POZIERES)</v>
      </c>
      <c r="I143" s="78">
        <f>'Avail List'!I152</f>
        <v>85</v>
      </c>
      <c r="J143" s="75">
        <f>'Avail List'!J152</f>
        <v>0</v>
      </c>
      <c r="K143" s="76" t="s">
        <v>1025</v>
      </c>
    </row>
    <row r="144" spans="1:11" x14ac:dyDescent="0.25">
      <c r="A144" s="76" t="str">
        <f>'Avail List'!E153</f>
        <v>APPPXPOZ</v>
      </c>
      <c r="B144" s="75" t="s">
        <v>15</v>
      </c>
      <c r="C144" s="75" t="str">
        <f>'Avail List'!A153</f>
        <v>APPLE PINK LADY 12KG</v>
      </c>
      <c r="D144" s="77" t="str">
        <f>'Avail List'!B153</f>
        <v>BX</v>
      </c>
      <c r="E144" s="77" t="str">
        <f>'Avail List'!C153</f>
        <v>12KG</v>
      </c>
      <c r="F144" s="75" t="str">
        <f>'Avail List'!D153</f>
        <v>MCMAHON (POZIERES)</v>
      </c>
      <c r="I144" s="78">
        <f>'Avail List'!I153</f>
        <v>90</v>
      </c>
      <c r="J144" s="75">
        <f>'Avail List'!J153</f>
        <v>0</v>
      </c>
      <c r="K144" s="76" t="s">
        <v>1026</v>
      </c>
    </row>
    <row r="145" spans="1:11" x14ac:dyDescent="0.25">
      <c r="A145" s="76" t="str">
        <f>'Avail List'!E154</f>
        <v>APPP9POZ</v>
      </c>
      <c r="B145" s="75" t="s">
        <v>15</v>
      </c>
      <c r="C145" s="75" t="str">
        <f>'Avail List'!A154</f>
        <v>APPLE PINK LADY 9KG</v>
      </c>
      <c r="D145" s="77" t="str">
        <f>'Avail List'!B154</f>
        <v>BX</v>
      </c>
      <c r="E145" s="77" t="str">
        <f>'Avail List'!C154</f>
        <v>9KG</v>
      </c>
      <c r="F145" s="75" t="str">
        <f>'Avail List'!D154</f>
        <v>MCMAHON (POZIERES)</v>
      </c>
      <c r="I145" s="78">
        <f>'Avail List'!I154</f>
        <v>66</v>
      </c>
      <c r="J145" s="75">
        <f>'Avail List'!J154</f>
        <v>0</v>
      </c>
      <c r="K145" s="76" t="s">
        <v>1027</v>
      </c>
    </row>
    <row r="146" spans="1:11" x14ac:dyDescent="0.25">
      <c r="A146" s="76" t="str">
        <f>'Avail List'!E155</f>
        <v>APPPFRS</v>
      </c>
      <c r="B146" s="75" t="s">
        <v>15</v>
      </c>
      <c r="C146" s="75" t="str">
        <f>'Avail List'!A155</f>
        <v>APPLE PINK LADY 15KG</v>
      </c>
      <c r="D146" s="77" t="str">
        <f>'Avail List'!B155</f>
        <v>BX</v>
      </c>
      <c r="E146" s="77" t="str">
        <f>'Avail List'!C155</f>
        <v>15KG</v>
      </c>
      <c r="F146" s="75" t="str">
        <f>'Avail List'!D155</f>
        <v>FOREST ORCHARDS</v>
      </c>
      <c r="I146" s="78">
        <f>'Avail List'!I155</f>
        <v>93</v>
      </c>
      <c r="J146" s="75">
        <f>'Avail List'!J155</f>
        <v>0</v>
      </c>
      <c r="K146" s="76" t="s">
        <v>1028</v>
      </c>
    </row>
    <row r="147" spans="1:11" x14ac:dyDescent="0.25">
      <c r="A147" s="76" t="str">
        <f>'Avail List'!E156</f>
        <v>APPP9GVI</v>
      </c>
      <c r="B147" s="75" t="s">
        <v>15</v>
      </c>
      <c r="C147" s="75" t="str">
        <f>'Avail List'!A156</f>
        <v>APPLE PINK LADY 9KG</v>
      </c>
      <c r="D147" s="77" t="str">
        <f>'Avail List'!B156</f>
        <v>BX</v>
      </c>
      <c r="E147" s="77" t="str">
        <f>'Avail List'!C156</f>
        <v>9KG</v>
      </c>
      <c r="F147" s="75" t="str">
        <f>'Avail List'!D156</f>
        <v>GVIP</v>
      </c>
      <c r="I147" s="78">
        <f>'Avail List'!I156</f>
        <v>56</v>
      </c>
      <c r="J147" s="75">
        <f>'Avail List'!J156</f>
        <v>0</v>
      </c>
      <c r="K147" s="76" t="s">
        <v>1029</v>
      </c>
    </row>
    <row r="148" spans="1:11" x14ac:dyDescent="0.25">
      <c r="A148" s="76" t="str">
        <f>'Avail List'!E157</f>
        <v>APPDXPOZ</v>
      </c>
      <c r="B148" s="75" t="s">
        <v>15</v>
      </c>
      <c r="C148" s="75" t="str">
        <f>'Avail List'!A157</f>
        <v>APPLE RED DEL 12KG</v>
      </c>
      <c r="D148" s="77" t="str">
        <f>'Avail List'!B157</f>
        <v>BX</v>
      </c>
      <c r="E148" s="77" t="str">
        <f>'Avail List'!C157</f>
        <v>12KG</v>
      </c>
      <c r="F148" s="75" t="str">
        <f>'Avail List'!D157</f>
        <v>MCMAHON (POZIERES)</v>
      </c>
      <c r="I148" s="78">
        <f>'Avail List'!I157</f>
        <v>73</v>
      </c>
      <c r="J148" s="75">
        <f>'Avail List'!J157</f>
        <v>0</v>
      </c>
      <c r="K148" s="76" t="s">
        <v>1030</v>
      </c>
    </row>
    <row r="149" spans="1:11" x14ac:dyDescent="0.25">
      <c r="A149" s="76" t="str">
        <f>'Avail List'!E158</f>
        <v>APPSBXSMT</v>
      </c>
      <c r="B149" s="75" t="s">
        <v>15</v>
      </c>
      <c r="C149" s="75" t="str">
        <f>'Avail List'!A158</f>
        <v xml:space="preserve">APPLE SOUTHERN BLISS </v>
      </c>
      <c r="D149" s="77" t="str">
        <f>'Avail List'!B158</f>
        <v>BX</v>
      </c>
      <c r="E149" s="77" t="str">
        <f>'Avail List'!C158</f>
        <v>12KG</v>
      </c>
      <c r="F149" s="75" t="str">
        <f>'Avail List'!D158</f>
        <v>R&amp;RSMITH</v>
      </c>
      <c r="I149" s="78">
        <f>'Avail List'!I158</f>
        <v>85</v>
      </c>
      <c r="J149" s="75">
        <f>'Avail List'!J158</f>
        <v>0</v>
      </c>
      <c r="K149" s="76" t="s">
        <v>1031</v>
      </c>
    </row>
    <row r="150" spans="1:11" x14ac:dyDescent="0.25">
      <c r="A150" s="76" t="str">
        <f>'Avail List'!E159</f>
        <v>APPSBPPSMT</v>
      </c>
      <c r="B150" s="75" t="s">
        <v>15</v>
      </c>
      <c r="C150" s="75" t="str">
        <f>'Avail List'!A159</f>
        <v>APPLE SOUTHERN BLISS 1KG CARDBOARD PUNNET</v>
      </c>
      <c r="D150" s="77" t="str">
        <f>'Avail List'!B159</f>
        <v>BX</v>
      </c>
      <c r="E150" s="77" t="str">
        <f>'Avail List'!C159</f>
        <v>8X1KG</v>
      </c>
      <c r="F150" s="75" t="str">
        <f>'Avail List'!D159</f>
        <v>R&amp;RSMITH</v>
      </c>
      <c r="I150" s="78">
        <f>'Avail List'!I159</f>
        <v>61</v>
      </c>
      <c r="J150" s="75">
        <f>'Avail List'!J159</f>
        <v>0</v>
      </c>
      <c r="K150" s="76" t="s">
        <v>1032</v>
      </c>
    </row>
    <row r="151" spans="1:11" x14ac:dyDescent="0.25">
      <c r="A151" s="76" t="str">
        <f>'Avail List'!E160</f>
        <v>APPJU9POZ</v>
      </c>
      <c r="B151" s="75" t="s">
        <v>15</v>
      </c>
      <c r="C151" s="75" t="str">
        <f>'Avail List'!A160</f>
        <v>APPLE JUICING RED 9KG</v>
      </c>
      <c r="D151" s="77" t="str">
        <f>'Avail List'!B160</f>
        <v>BX</v>
      </c>
      <c r="E151" s="77" t="str">
        <f>'Avail List'!C160</f>
        <v xml:space="preserve">9KG  </v>
      </c>
      <c r="F151" s="75" t="str">
        <f>'Avail List'!D160</f>
        <v>MCMAHON (POZIERES)</v>
      </c>
      <c r="I151" s="78">
        <f>'Avail List'!I160</f>
        <v>39</v>
      </c>
      <c r="J151" s="75">
        <f>'Avail List'!J160</f>
        <v>0</v>
      </c>
      <c r="K151" s="76" t="s">
        <v>1033</v>
      </c>
    </row>
    <row r="152" spans="1:11" x14ac:dyDescent="0.25">
      <c r="A152" s="76" t="str">
        <f>'Avail List'!E161</f>
        <v>APPGSJPOZ</v>
      </c>
      <c r="B152" s="75" t="s">
        <v>15</v>
      </c>
      <c r="C152" s="75" t="str">
        <f>'Avail List'!A161</f>
        <v>APPLE JUICING GREEN 9KG</v>
      </c>
      <c r="D152" s="77" t="str">
        <f>'Avail List'!B161</f>
        <v>BX</v>
      </c>
      <c r="E152" s="77" t="str">
        <f>'Avail List'!C161</f>
        <v xml:space="preserve">9KG  </v>
      </c>
      <c r="F152" s="75" t="str">
        <f>'Avail List'!D161</f>
        <v>MCMAHON (POZIERES)</v>
      </c>
      <c r="I152" s="78">
        <f>'Avail List'!I161</f>
        <v>46</v>
      </c>
      <c r="J152" s="75">
        <f>'Avail List'!J161</f>
        <v>0</v>
      </c>
      <c r="K152" s="76" t="s">
        <v>1034</v>
      </c>
    </row>
    <row r="153" spans="1:11" x14ac:dyDescent="0.25">
      <c r="A153" s="76" t="str">
        <f>'Avail List'!E162</f>
        <v>APPJUFRS</v>
      </c>
      <c r="B153" s="75" t="s">
        <v>15</v>
      </c>
      <c r="C153" s="75" t="str">
        <f>'Avail List'!A162</f>
        <v>APPLE JUICING 15KG</v>
      </c>
      <c r="D153" s="77" t="str">
        <f>'Avail List'!B162</f>
        <v>BX</v>
      </c>
      <c r="E153" s="77" t="str">
        <f>'Avail List'!C162</f>
        <v>15KG</v>
      </c>
      <c r="F153" s="75" t="str">
        <f>'Avail List'!D162</f>
        <v>FOREST ORCHARDS</v>
      </c>
      <c r="I153" s="78">
        <f>'Avail List'!I162</f>
        <v>56</v>
      </c>
      <c r="J153" s="75">
        <f>'Avail List'!J162</f>
        <v>0</v>
      </c>
      <c r="K153" s="76" t="s">
        <v>1035</v>
      </c>
    </row>
    <row r="154" spans="1:11" x14ac:dyDescent="0.25">
      <c r="A154" s="76" t="str">
        <f>'Avail List'!E163</f>
        <v>AVOAVO</v>
      </c>
      <c r="B154" s="75" t="s">
        <v>15</v>
      </c>
      <c r="C154" s="75" t="str">
        <f>'Avail List'!A163</f>
        <v xml:space="preserve">AVOCADO HASS TRAY </v>
      </c>
      <c r="D154" s="77" t="str">
        <f>'Avail List'!B163</f>
        <v>TR</v>
      </c>
      <c r="E154" s="77" t="str">
        <f>'Avail List'!C163</f>
        <v>5.5KG</v>
      </c>
      <c r="F154" s="75" t="str">
        <f>'Avail List'!D163</f>
        <v>AVORAMA</v>
      </c>
      <c r="I154" s="78">
        <f>'Avail List'!I163</f>
        <v>45</v>
      </c>
      <c r="J154" s="75">
        <f>'Avail List'!J163</f>
        <v>0</v>
      </c>
      <c r="K154" s="76" t="s">
        <v>1036</v>
      </c>
    </row>
    <row r="155" spans="1:11" x14ac:dyDescent="0.25">
      <c r="A155" s="76" t="str">
        <f>'Avail List'!E164</f>
        <v xml:space="preserve">AVOPAVO </v>
      </c>
      <c r="B155" s="75" t="s">
        <v>15</v>
      </c>
      <c r="C155" s="75" t="str">
        <f>'Avail List'!A164</f>
        <v>AVOCADO HASS TRAY PREMIUM</v>
      </c>
      <c r="D155" s="77" t="str">
        <f>'Avail List'!B164</f>
        <v>TR</v>
      </c>
      <c r="E155" s="77" t="str">
        <f>'Avail List'!C164</f>
        <v>5.5KG</v>
      </c>
      <c r="F155" s="75" t="str">
        <f>'Avail List'!D164</f>
        <v xml:space="preserve">AVORAMA </v>
      </c>
      <c r="I155" s="78">
        <f>'Avail List'!I164</f>
        <v>54</v>
      </c>
      <c r="J155" s="75" t="str">
        <f>'Avail List'!J164</f>
        <v>SIZE 16-20</v>
      </c>
      <c r="K155" s="76" t="s">
        <v>1037</v>
      </c>
    </row>
    <row r="156" spans="1:11" x14ac:dyDescent="0.25">
      <c r="A156" s="76" t="str">
        <f>'Avail List'!E165</f>
        <v>AVOBAVO</v>
      </c>
      <c r="B156" s="75" t="s">
        <v>15</v>
      </c>
      <c r="C156" s="75" t="str">
        <f>'Avail List'!A165</f>
        <v>AVOCADO HASS BULK</v>
      </c>
      <c r="D156" s="77" t="str">
        <f>'Avail List'!B165</f>
        <v>TR</v>
      </c>
      <c r="E156" s="77" t="str">
        <f>'Avail List'!C165</f>
        <v>10KG</v>
      </c>
      <c r="F156" s="75" t="str">
        <f>'Avail List'!D165</f>
        <v>AVORAMA</v>
      </c>
      <c r="I156" s="78">
        <f>'Avail List'!I165</f>
        <v>45</v>
      </c>
      <c r="J156" s="75" t="str">
        <f>'Avail List'!J165</f>
        <v>L &amp; XL</v>
      </c>
      <c r="K156" s="76" t="s">
        <v>1038</v>
      </c>
    </row>
    <row r="157" spans="1:11" x14ac:dyDescent="0.25">
      <c r="A157" s="76" t="str">
        <f>'Avail List'!E166</f>
        <v>BANPOP BANJAH BANBAS</v>
      </c>
      <c r="B157" s="75" t="s">
        <v>15</v>
      </c>
      <c r="C157" s="75" t="str">
        <f>'Avail List'!A166</f>
        <v>BANANA CAVENDISH</v>
      </c>
      <c r="D157" s="77" t="str">
        <f>'Avail List'!B166</f>
        <v>BX</v>
      </c>
      <c r="E157" s="77" t="str">
        <f>'Avail List'!C166</f>
        <v>13KG</v>
      </c>
      <c r="F157" s="75" t="str">
        <f>'Avail List'!D166</f>
        <v>JAH POPPI BASTON</v>
      </c>
      <c r="I157" s="78">
        <f>'Avail List'!I166</f>
        <v>50</v>
      </c>
      <c r="J157" s="75" t="str">
        <f>'Avail List'!J166</f>
        <v>3+ @ $48 BX</v>
      </c>
      <c r="K157" s="76" t="s">
        <v>1039</v>
      </c>
    </row>
    <row r="158" spans="1:11" x14ac:dyDescent="0.25">
      <c r="A158" s="76" t="str">
        <f>'Avail List'!E167</f>
        <v>BANLBAS</v>
      </c>
      <c r="B158" s="75" t="s">
        <v>15</v>
      </c>
      <c r="C158" s="75" t="str">
        <f>'Avail List'!A167</f>
        <v>BANANA LADY FINGER</v>
      </c>
      <c r="D158" s="77" t="str">
        <f>'Avail List'!B167</f>
        <v xml:space="preserve">BX  </v>
      </c>
      <c r="E158" s="77" t="str">
        <f>'Avail List'!C167</f>
        <v>8KG</v>
      </c>
      <c r="F158" s="75" t="str">
        <f>'Avail List'!D167</f>
        <v>BASTON</v>
      </c>
      <c r="I158" s="78">
        <f>'Avail List'!I167</f>
        <v>52</v>
      </c>
      <c r="J158" s="75">
        <f>'Avail List'!J167</f>
        <v>0</v>
      </c>
      <c r="K158" s="76" t="s">
        <v>1040</v>
      </c>
    </row>
    <row r="159" spans="1:11" x14ac:dyDescent="0.25">
      <c r="A159" s="76" t="str">
        <f>'Avail List'!E168</f>
        <v>BANSPOP</v>
      </c>
      <c r="B159" s="75" t="s">
        <v>15</v>
      </c>
      <c r="C159" s="75" t="str">
        <f>'Avail List'!A168</f>
        <v>BANANA SMOOTHIE</v>
      </c>
      <c r="D159" s="77" t="str">
        <f>'Avail List'!B168</f>
        <v>BX</v>
      </c>
      <c r="E159" s="77" t="str">
        <f>'Avail List'!C168</f>
        <v>9KG</v>
      </c>
      <c r="F159" s="75" t="str">
        <f>'Avail List'!D168</f>
        <v>POPPI</v>
      </c>
      <c r="I159" s="78">
        <f>'Avail List'!I168</f>
        <v>24</v>
      </c>
      <c r="J159" s="75">
        <f>'Avail List'!J168</f>
        <v>0</v>
      </c>
      <c r="K159" s="76" t="s">
        <v>1041</v>
      </c>
    </row>
    <row r="160" spans="1:11" x14ac:dyDescent="0.25">
      <c r="A160" s="76" t="str">
        <f>'Avail List'!E169</f>
        <v>GRFRIV</v>
      </c>
      <c r="B160" s="75" t="s">
        <v>15</v>
      </c>
      <c r="C160" s="75" t="str">
        <f>'Avail List'!A169</f>
        <v>GRAPEFRUIT YELLOW</v>
      </c>
      <c r="D160" s="77" t="str">
        <f>'Avail List'!B169</f>
        <v>BX</v>
      </c>
      <c r="E160" s="77" t="str">
        <f>'Avail List'!C169</f>
        <v>15KG</v>
      </c>
      <c r="F160" s="75" t="str">
        <f>'Avail List'!D169</f>
        <v>RIVERSDALE</v>
      </c>
      <c r="I160" s="78">
        <f>'Avail List'!I169</f>
        <v>42</v>
      </c>
      <c r="J160" s="75">
        <f>'Avail List'!J169</f>
        <v>0</v>
      </c>
      <c r="K160" s="76" t="s">
        <v>1042</v>
      </c>
    </row>
    <row r="161" spans="1:11" x14ac:dyDescent="0.25">
      <c r="A161" s="76" t="str">
        <f>'Avail List'!E170</f>
        <v>GRFPKAR</v>
      </c>
      <c r="B161" s="75" t="s">
        <v>15</v>
      </c>
      <c r="C161" s="75" t="str">
        <f>'Avail List'!A170</f>
        <v>GRAPEFRUIT PINK</v>
      </c>
      <c r="D161" s="77" t="str">
        <f>'Avail List'!B170</f>
        <v>BX</v>
      </c>
      <c r="E161" s="77" t="str">
        <f>'Avail List'!C170</f>
        <v>15KG</v>
      </c>
      <c r="F161" s="75" t="str">
        <f>'Avail List'!D170</f>
        <v>KARRA ORGANIC</v>
      </c>
      <c r="I161" s="78">
        <f>'Avail List'!I170</f>
        <v>77</v>
      </c>
      <c r="J161" s="75">
        <f>'Avail List'!J170</f>
        <v>0</v>
      </c>
      <c r="K161" s="76" t="s">
        <v>1043</v>
      </c>
    </row>
    <row r="162" spans="1:11" x14ac:dyDescent="0.25">
      <c r="A162" s="76" t="str">
        <f>'Avail List'!E171</f>
        <v>GRFRSTA</v>
      </c>
      <c r="B162" s="75" t="s">
        <v>15</v>
      </c>
      <c r="C162" s="75" t="str">
        <f>'Avail List'!A171</f>
        <v>GRAPEFRUIT RUBY</v>
      </c>
      <c r="D162" s="77" t="str">
        <f>'Avail List'!B171</f>
        <v>BX</v>
      </c>
      <c r="E162" s="77" t="str">
        <f>'Avail List'!C171</f>
        <v>6-7kg</v>
      </c>
      <c r="F162" s="75" t="str">
        <f>'Avail List'!D171</f>
        <v>STANNARY</v>
      </c>
      <c r="I162" s="78">
        <f>'Avail List'!I171</f>
        <v>31</v>
      </c>
      <c r="J162" s="75">
        <f>'Avail List'!J171</f>
        <v>0</v>
      </c>
      <c r="K162" s="76" t="s">
        <v>1044</v>
      </c>
    </row>
    <row r="163" spans="1:11" x14ac:dyDescent="0.25">
      <c r="A163" s="76" t="str">
        <f>'Avail List'!E172</f>
        <v>KIWXCOM</v>
      </c>
      <c r="B163" s="75" t="s">
        <v>15</v>
      </c>
      <c r="C163" s="75" t="str">
        <f>'Avail List'!A172</f>
        <v>KIWIFRUIT</v>
      </c>
      <c r="D163" s="77" t="str">
        <f>'Avail List'!B172</f>
        <v>BX</v>
      </c>
      <c r="E163" s="77" t="str">
        <f>'Avail List'!C172</f>
        <v>10KG</v>
      </c>
      <c r="F163" s="75" t="str">
        <f>'Avail List'!D172</f>
        <v>COMBOYNE</v>
      </c>
      <c r="I163" s="78">
        <f>'Avail List'!I172</f>
        <v>135</v>
      </c>
      <c r="J163" s="75">
        <f>'Avail List'!J172</f>
        <v>0</v>
      </c>
      <c r="K163" s="76" t="s">
        <v>1045</v>
      </c>
    </row>
    <row r="164" spans="1:11" x14ac:dyDescent="0.25">
      <c r="A164" s="76" t="str">
        <f>'Avail List'!E173</f>
        <v>KIWLCOM</v>
      </c>
      <c r="B164" s="75" t="s">
        <v>15</v>
      </c>
      <c r="C164" s="75" t="str">
        <f>'Avail List'!A173</f>
        <v>KIWIFRUIT IMPERFECT</v>
      </c>
      <c r="D164" s="77" t="str">
        <f>'Avail List'!B173</f>
        <v>BX</v>
      </c>
      <c r="E164" s="77" t="str">
        <f>'Avail List'!C173</f>
        <v>10KG</v>
      </c>
      <c r="F164" s="75" t="str">
        <f>'Avail List'!D173</f>
        <v xml:space="preserve">COMBOYNE.  </v>
      </c>
      <c r="I164" s="78">
        <f>'Avail List'!I173</f>
        <v>115</v>
      </c>
      <c r="J164" s="75">
        <f>'Avail List'!J173</f>
        <v>0</v>
      </c>
      <c r="K164" s="76" t="s">
        <v>1046</v>
      </c>
    </row>
    <row r="165" spans="1:11" x14ac:dyDescent="0.25">
      <c r="A165" s="76" t="str">
        <f>'Avail List'!E174</f>
        <v>LEMDMER</v>
      </c>
      <c r="B165" s="75" t="s">
        <v>15</v>
      </c>
      <c r="C165" s="75" t="str">
        <f>'Avail List'!A174</f>
        <v>LEMONADES</v>
      </c>
      <c r="D165" s="77" t="str">
        <f>'Avail List'!B174</f>
        <v xml:space="preserve">BX  </v>
      </c>
      <c r="E165" s="77" t="str">
        <f>'Avail List'!C174</f>
        <v xml:space="preserve">9KG  </v>
      </c>
      <c r="F165" s="75" t="str">
        <f>'Avail List'!D174</f>
        <v>MERRICK CREEK</v>
      </c>
      <c r="I165" s="78">
        <f>'Avail List'!I174</f>
        <v>45</v>
      </c>
      <c r="J165" s="75" t="str">
        <f>'Avail List'!J174</f>
        <v>BACK IN STOCK</v>
      </c>
      <c r="K165" s="76" t="s">
        <v>1047</v>
      </c>
    </row>
    <row r="166" spans="1:11" x14ac:dyDescent="0.25">
      <c r="A166" s="76" t="str">
        <f>'Avail List'!E175</f>
        <v>LEMXSUN</v>
      </c>
      <c r="B166" s="75" t="s">
        <v>15</v>
      </c>
      <c r="C166" s="75" t="str">
        <f>'Avail List'!A175</f>
        <v>LEMON</v>
      </c>
      <c r="D166" s="77" t="str">
        <f>'Avail List'!B175</f>
        <v xml:space="preserve">BX  </v>
      </c>
      <c r="E166" s="77" t="str">
        <f>'Avail List'!C175</f>
        <v>12-13KG</v>
      </c>
      <c r="F166" s="75" t="str">
        <f>'Avail List'!D175</f>
        <v xml:space="preserve">SUNZEST </v>
      </c>
      <c r="I166" s="78">
        <f>'Avail List'!I175</f>
        <v>67</v>
      </c>
      <c r="J166" s="75">
        <f>'Avail List'!J175</f>
        <v>0</v>
      </c>
      <c r="K166" s="76" t="s">
        <v>1048</v>
      </c>
    </row>
    <row r="167" spans="1:11" x14ac:dyDescent="0.25">
      <c r="A167" s="76" t="str">
        <f>'Avail List'!E176</f>
        <v>LEMXRIV</v>
      </c>
      <c r="B167" s="75" t="s">
        <v>15</v>
      </c>
      <c r="C167" s="75" t="str">
        <f>'Avail List'!A176</f>
        <v>LEMONS</v>
      </c>
      <c r="D167" s="77" t="str">
        <f>'Avail List'!B176</f>
        <v>BX</v>
      </c>
      <c r="E167" s="77" t="str">
        <f>'Avail List'!C176</f>
        <v>9KG</v>
      </c>
      <c r="F167" s="75" t="str">
        <f>'Avail List'!D176</f>
        <v>RIVERSDALE</v>
      </c>
      <c r="I167" s="78">
        <f>'Avail List'!I176</f>
        <v>74</v>
      </c>
      <c r="J167" s="75">
        <f>'Avail List'!J176</f>
        <v>0</v>
      </c>
      <c r="K167" s="76" t="s">
        <v>1049</v>
      </c>
    </row>
    <row r="168" spans="1:11" x14ac:dyDescent="0.25">
      <c r="A168" s="76" t="str">
        <f>'Avail List'!E177</f>
        <v>LEM2RIV</v>
      </c>
      <c r="B168" s="75" t="s">
        <v>15</v>
      </c>
      <c r="C168" s="75" t="str">
        <f>'Avail List'!A177</f>
        <v>LEMONS IMPERFECT</v>
      </c>
      <c r="D168" s="77" t="str">
        <f>'Avail List'!B177</f>
        <v>BX</v>
      </c>
      <c r="E168" s="77" t="str">
        <f>'Avail List'!C177</f>
        <v>9KG</v>
      </c>
      <c r="F168" s="75" t="str">
        <f>'Avail List'!D177</f>
        <v>RIVERSDALE</v>
      </c>
      <c r="I168" s="78">
        <f>'Avail List'!I177</f>
        <v>52</v>
      </c>
      <c r="J168" s="75">
        <f>'Avail List'!J177</f>
        <v>0</v>
      </c>
      <c r="K168" s="76" t="s">
        <v>1050</v>
      </c>
    </row>
    <row r="169" spans="1:11" x14ac:dyDescent="0.25">
      <c r="A169" s="76" t="str">
        <f>'Avail List'!E178</f>
        <v>LEMJRED</v>
      </c>
      <c r="B169" s="75" t="s">
        <v>15</v>
      </c>
      <c r="C169" s="75" t="str">
        <f>'Avail List'!A178</f>
        <v xml:space="preserve">LEMONS JUICING </v>
      </c>
      <c r="D169" s="77" t="str">
        <f>'Avail List'!B178</f>
        <v>BX</v>
      </c>
      <c r="E169" s="77" t="str">
        <f>'Avail List'!C178</f>
        <v>9KG</v>
      </c>
      <c r="F169" s="75" t="str">
        <f>'Avail List'!D178</f>
        <v xml:space="preserve">RED PLATEAU </v>
      </c>
      <c r="I169" s="78">
        <f>'Avail List'!I178</f>
        <v>40</v>
      </c>
      <c r="J169" s="75">
        <f>'Avail List'!J178</f>
        <v>0</v>
      </c>
      <c r="K169" s="76" t="s">
        <v>1051</v>
      </c>
    </row>
    <row r="170" spans="1:11" x14ac:dyDescent="0.25">
      <c r="A170" s="76" t="str">
        <f>'Avail List'!E179</f>
        <v>LIMSTA</v>
      </c>
      <c r="B170" s="75" t="s">
        <v>15</v>
      </c>
      <c r="C170" s="75" t="str">
        <f>'Avail List'!A179</f>
        <v>LIMES</v>
      </c>
      <c r="D170" s="77" t="str">
        <f>'Avail List'!B179</f>
        <v>BX</v>
      </c>
      <c r="E170" s="77" t="str">
        <f>'Avail List'!C179</f>
        <v>5KG</v>
      </c>
      <c r="F170" s="75" t="str">
        <f>'Avail List'!D179</f>
        <v>STANNARY</v>
      </c>
      <c r="I170" s="78">
        <f>'Avail List'!I179</f>
        <v>115</v>
      </c>
      <c r="J170" s="75">
        <f>'Avail List'!J179</f>
        <v>0</v>
      </c>
      <c r="K170" s="76" t="s">
        <v>1052</v>
      </c>
    </row>
    <row r="171" spans="1:11" x14ac:dyDescent="0.25">
      <c r="A171" s="76" t="str">
        <f>'Avail List'!E180</f>
        <v>LIM2STA</v>
      </c>
      <c r="B171" s="75" t="s">
        <v>15</v>
      </c>
      <c r="C171" s="75" t="str">
        <f>'Avail List'!A180</f>
        <v>LIME 2NDS</v>
      </c>
      <c r="D171" s="77" t="str">
        <f>'Avail List'!B180</f>
        <v>BX</v>
      </c>
      <c r="E171" s="77" t="str">
        <f>'Avail List'!C180</f>
        <v>5KG</v>
      </c>
      <c r="F171" s="75" t="str">
        <f>'Avail List'!D180</f>
        <v>STANNARY</v>
      </c>
      <c r="I171" s="78">
        <f>'Avail List'!I180</f>
        <v>60</v>
      </c>
      <c r="J171" s="75">
        <f>'Avail List'!J180</f>
        <v>0</v>
      </c>
      <c r="K171" s="76" t="s">
        <v>1053</v>
      </c>
    </row>
    <row r="172" spans="1:11" x14ac:dyDescent="0.25">
      <c r="A172" s="76" t="str">
        <f>'Avail List'!E181</f>
        <v>MANXRIV</v>
      </c>
      <c r="B172" s="75" t="s">
        <v>15</v>
      </c>
      <c r="C172" s="75" t="str">
        <f>'Avail List'!A181</f>
        <v>MANDARINS APHORA/AFOURER</v>
      </c>
      <c r="D172" s="77" t="str">
        <f>'Avail List'!B181</f>
        <v xml:space="preserve">BX  </v>
      </c>
      <c r="E172" s="77" t="str">
        <f>'Avail List'!C181</f>
        <v>5KG</v>
      </c>
      <c r="F172" s="75" t="str">
        <f>'Avail List'!D181</f>
        <v>RIVERSDALE</v>
      </c>
      <c r="I172" s="78">
        <f>'Avail List'!I181</f>
        <v>40</v>
      </c>
      <c r="J172" s="75" t="str">
        <f>'Avail List'!J181</f>
        <v>NEW VARIETY</v>
      </c>
      <c r="K172" s="76" t="s">
        <v>1054</v>
      </c>
    </row>
    <row r="173" spans="1:11" x14ac:dyDescent="0.25">
      <c r="A173" s="76" t="str">
        <f>'Avail List'!E182</f>
        <v>MANXSUN</v>
      </c>
      <c r="B173" s="75" t="s">
        <v>15</v>
      </c>
      <c r="C173" s="75" t="str">
        <f>'Avail List'!A182</f>
        <v>MANDARINS ELLENDALE</v>
      </c>
      <c r="D173" s="77" t="str">
        <f>'Avail List'!B182</f>
        <v>BX</v>
      </c>
      <c r="E173" s="77" t="str">
        <f>'Avail List'!C182</f>
        <v>9KG</v>
      </c>
      <c r="F173" s="75" t="str">
        <f>'Avail List'!D182</f>
        <v>SUNZEST</v>
      </c>
      <c r="I173" s="78">
        <f>'Avail List'!I182</f>
        <v>60</v>
      </c>
      <c r="J173" s="75">
        <f>'Avail List'!J182</f>
        <v>0</v>
      </c>
      <c r="K173" s="76" t="s">
        <v>1055</v>
      </c>
    </row>
    <row r="174" spans="1:11" x14ac:dyDescent="0.25">
      <c r="A174" s="76" t="str">
        <f>'Avail List'!E183</f>
        <v>MANIKAR</v>
      </c>
      <c r="B174" s="75" t="s">
        <v>15</v>
      </c>
      <c r="C174" s="75" t="str">
        <f>'Avail List'!A183</f>
        <v>MANDARIN IMPERIAL</v>
      </c>
      <c r="D174" s="77" t="str">
        <f>'Avail List'!B183</f>
        <v>BX</v>
      </c>
      <c r="E174" s="77" t="str">
        <f>'Avail List'!C183</f>
        <v>9KG</v>
      </c>
      <c r="F174" s="75" t="str">
        <f>'Avail List'!D183</f>
        <v>KARRA</v>
      </c>
      <c r="I174" s="78">
        <f>'Avail List'!I183</f>
        <v>80</v>
      </c>
      <c r="J174" s="75">
        <f>'Avail List'!J183</f>
        <v>0</v>
      </c>
      <c r="K174" s="76" t="s">
        <v>1056</v>
      </c>
    </row>
    <row r="175" spans="1:11" x14ac:dyDescent="0.25">
      <c r="A175" s="76" t="str">
        <f>'Avail List'!E184</f>
        <v>MANDKAR</v>
      </c>
      <c r="B175" s="75" t="s">
        <v>15</v>
      </c>
      <c r="C175" s="75" t="str">
        <f>'Avail List'!A184</f>
        <v>MANDARIN DAISY</v>
      </c>
      <c r="D175" s="77" t="str">
        <f>'Avail List'!B184</f>
        <v>BX</v>
      </c>
      <c r="E175" s="77" t="str">
        <f>'Avail List'!C184</f>
        <v>9KG</v>
      </c>
      <c r="F175" s="75" t="str">
        <f>'Avail List'!D184</f>
        <v>KARRA</v>
      </c>
      <c r="I175" s="78">
        <f>'Avail List'!I184</f>
        <v>62</v>
      </c>
      <c r="J175" s="75">
        <f>'Avail List'!J184</f>
        <v>0</v>
      </c>
      <c r="K175" s="76" t="s">
        <v>1057</v>
      </c>
    </row>
    <row r="176" spans="1:11" x14ac:dyDescent="0.25">
      <c r="A176" s="76" t="str">
        <f>'Avail List'!E185</f>
        <v>ORAJSUN</v>
      </c>
      <c r="B176" s="75" t="s">
        <v>15</v>
      </c>
      <c r="C176" s="75" t="str">
        <f>'Avail List'!A185</f>
        <v>ORANGES JUICING</v>
      </c>
      <c r="D176" s="77" t="str">
        <f>'Avail List'!B185</f>
        <v>KG</v>
      </c>
      <c r="E176" s="77" t="str">
        <f>'Avail List'!C185</f>
        <v xml:space="preserve">1KG  </v>
      </c>
      <c r="F176" s="75" t="str">
        <f>'Avail List'!D185</f>
        <v>SUNZEST</v>
      </c>
      <c r="I176" s="78">
        <f>'Avail List'!I185</f>
        <v>2.5</v>
      </c>
      <c r="J176" s="75" t="str">
        <f>'Avail List'!J185</f>
        <v>**SPECIAL**</v>
      </c>
      <c r="K176" s="76" t="s">
        <v>1058</v>
      </c>
    </row>
    <row r="177" spans="1:13" x14ac:dyDescent="0.25">
      <c r="A177" s="76" t="str">
        <f>'Avail List'!E186</f>
        <v>ORAJXSUN</v>
      </c>
      <c r="B177" s="75" t="s">
        <v>15</v>
      </c>
      <c r="C177" s="75" t="str">
        <f>'Avail List'!A186</f>
        <v>ORANGES JUICING 20KG</v>
      </c>
      <c r="D177" s="77" t="str">
        <f>'Avail List'!B186</f>
        <v>BX</v>
      </c>
      <c r="E177" s="77" t="str">
        <f>'Avail List'!C186</f>
        <v xml:space="preserve">20KG  </v>
      </c>
      <c r="F177" s="75" t="str">
        <f>'Avail List'!D186</f>
        <v xml:space="preserve">SUNZEST </v>
      </c>
      <c r="I177" s="78">
        <f>'Avail List'!I186</f>
        <v>45</v>
      </c>
      <c r="J177" s="75" t="str">
        <f>'Avail List'!J186</f>
        <v>**SPECIAL**</v>
      </c>
      <c r="K177" s="76" t="s">
        <v>1059</v>
      </c>
    </row>
    <row r="178" spans="1:13" x14ac:dyDescent="0.25">
      <c r="A178" s="76" t="str">
        <f>'Avail List'!E187</f>
        <v>ORAN15SUN</v>
      </c>
      <c r="B178" s="75" t="s">
        <v>15</v>
      </c>
      <c r="C178" s="75" t="str">
        <f>'Avail List'!A187</f>
        <v>ORANGES NAVEL 15KG</v>
      </c>
      <c r="D178" s="77" t="str">
        <f>'Avail List'!B187</f>
        <v>BX</v>
      </c>
      <c r="E178" s="77" t="str">
        <f>'Avail List'!C187</f>
        <v xml:space="preserve">15KG  </v>
      </c>
      <c r="F178" s="75" t="str">
        <f>'Avail List'!D187</f>
        <v>SUNZEST</v>
      </c>
      <c r="I178" s="78">
        <f>'Avail List'!I187</f>
        <v>56</v>
      </c>
      <c r="J178" s="75">
        <f>'Avail List'!J187</f>
        <v>0</v>
      </c>
      <c r="K178" s="76" t="s">
        <v>1060</v>
      </c>
    </row>
    <row r="179" spans="1:13" x14ac:dyDescent="0.25">
      <c r="A179" s="76" t="str">
        <f>'Avail List'!E188</f>
        <v>ORAN3SUN</v>
      </c>
      <c r="B179" s="75" t="s">
        <v>15</v>
      </c>
      <c r="C179" s="75" t="str">
        <f>'Avail List'!A188</f>
        <v>ORANGES NAVEL 3KG NET</v>
      </c>
      <c r="D179" s="77" t="str">
        <f>'Avail List'!B188</f>
        <v>BG</v>
      </c>
      <c r="E179" s="77" t="str">
        <f>'Avail List'!C188</f>
        <v xml:space="preserve">3KG  </v>
      </c>
      <c r="F179" s="75" t="str">
        <f>'Avail List'!D188</f>
        <v>SUNZEST</v>
      </c>
      <c r="I179" s="78">
        <f>'Avail List'!I188</f>
        <v>9</v>
      </c>
      <c r="J179" s="75" t="str">
        <f>'Avail List'!J188</f>
        <v>10+ @ $8.75 NT</v>
      </c>
      <c r="K179" s="76" t="s">
        <v>1061</v>
      </c>
    </row>
    <row r="180" spans="1:13" x14ac:dyDescent="0.25">
      <c r="A180" s="76" t="str">
        <f>'Avail List'!E189</f>
        <v>ORANXKAR</v>
      </c>
      <c r="B180" s="75" t="s">
        <v>15</v>
      </c>
      <c r="C180" s="75" t="str">
        <f>'Avail List'!A189</f>
        <v>ORANGE NAVELINA</v>
      </c>
      <c r="D180" s="77" t="str">
        <f>'Avail List'!B189</f>
        <v>BX</v>
      </c>
      <c r="E180" s="77" t="str">
        <f>'Avail List'!C189</f>
        <v>18KG</v>
      </c>
      <c r="F180" s="75" t="str">
        <f>'Avail List'!D189</f>
        <v>KARRA ORGANIC</v>
      </c>
      <c r="I180" s="78">
        <f>'Avail List'!I189</f>
        <v>84</v>
      </c>
      <c r="J180" s="75">
        <f>'Avail List'!J189</f>
        <v>0</v>
      </c>
      <c r="K180" s="76" t="s">
        <v>1062</v>
      </c>
    </row>
    <row r="181" spans="1:13" s="86" customFormat="1" x14ac:dyDescent="0.25">
      <c r="A181" s="76" t="str">
        <f>'Avail List'!E190</f>
        <v>ORAB15SUN</v>
      </c>
      <c r="B181" s="75" t="s">
        <v>15</v>
      </c>
      <c r="C181" s="75" t="str">
        <f>'Avail List'!A190</f>
        <v>ORANGE BLOOD 15KG</v>
      </c>
      <c r="D181" s="77" t="str">
        <f>'Avail List'!B190</f>
        <v>BX</v>
      </c>
      <c r="E181" s="77" t="str">
        <f>'Avail List'!C190</f>
        <v>15KG</v>
      </c>
      <c r="F181" s="75" t="str">
        <f>'Avail List'!D190</f>
        <v>SUNZEST</v>
      </c>
      <c r="G181" s="75"/>
      <c r="H181" s="75"/>
      <c r="I181" s="78">
        <f>'Avail List'!I190</f>
        <v>58</v>
      </c>
      <c r="J181" s="75">
        <f>'Avail List'!J190</f>
        <v>0</v>
      </c>
      <c r="K181" s="76" t="s">
        <v>1063</v>
      </c>
      <c r="L181" s="75"/>
      <c r="M181" s="75"/>
    </row>
    <row r="182" spans="1:13" s="86" customFormat="1" x14ac:dyDescent="0.25">
      <c r="A182" s="76" t="str">
        <f>'Avail List'!E191</f>
        <v>ORABJSUN</v>
      </c>
      <c r="B182" s="75" t="s">
        <v>15</v>
      </c>
      <c r="C182" s="75" t="str">
        <f>'Avail List'!A191</f>
        <v>ORANGE BLOOD JUICING</v>
      </c>
      <c r="D182" s="77" t="str">
        <f>'Avail List'!B191</f>
        <v>KG</v>
      </c>
      <c r="E182" s="77" t="str">
        <f>'Avail List'!C191</f>
        <v>PER KG</v>
      </c>
      <c r="F182" s="75" t="str">
        <f>'Avail List'!D191</f>
        <v>SUNZEST</v>
      </c>
      <c r="G182" s="75"/>
      <c r="H182" s="75"/>
      <c r="I182" s="78">
        <f>'Avail List'!I191</f>
        <v>2.7</v>
      </c>
      <c r="J182" s="75">
        <f>'Avail List'!J191</f>
        <v>0</v>
      </c>
      <c r="K182" s="76" t="s">
        <v>1064</v>
      </c>
      <c r="L182" s="75"/>
      <c r="M182" s="75"/>
    </row>
    <row r="183" spans="1:13" s="86" customFormat="1" x14ac:dyDescent="0.25">
      <c r="A183" s="76" t="str">
        <f>'Avail List'!E192</f>
        <v>ORANCKAR</v>
      </c>
      <c r="B183" s="75" t="s">
        <v>15</v>
      </c>
      <c r="C183" s="75" t="str">
        <f>'Avail List'!A192</f>
        <v>ORANGE CARA CARA (RED)</v>
      </c>
      <c r="D183" s="77" t="str">
        <f>'Avail List'!B192</f>
        <v>BX</v>
      </c>
      <c r="E183" s="77" t="str">
        <f>'Avail List'!C192</f>
        <v>18KG</v>
      </c>
      <c r="F183" s="75" t="str">
        <f>'Avail List'!D192</f>
        <v>KARRA ORGANIC</v>
      </c>
      <c r="G183" s="75"/>
      <c r="H183" s="75"/>
      <c r="I183" s="78">
        <f>'Avail List'!I192</f>
        <v>91</v>
      </c>
      <c r="J183" s="75">
        <f>'Avail List'!J192</f>
        <v>0</v>
      </c>
      <c r="K183" s="76" t="s">
        <v>1065</v>
      </c>
      <c r="L183" s="75"/>
      <c r="M183" s="75"/>
    </row>
    <row r="184" spans="1:13" s="86" customFormat="1" x14ac:dyDescent="0.25">
      <c r="A184" s="76" t="str">
        <f>'Avail List'!E193</f>
        <v xml:space="preserve">PAWRJAH </v>
      </c>
      <c r="B184" s="75" t="s">
        <v>15</v>
      </c>
      <c r="C184" s="75" t="str">
        <f>'Avail List'!A193</f>
        <v xml:space="preserve">PAPAYA </v>
      </c>
      <c r="D184" s="77" t="str">
        <f>'Avail List'!B193</f>
        <v>BX</v>
      </c>
      <c r="E184" s="77" t="str">
        <f>'Avail List'!C193</f>
        <v>6-7KG</v>
      </c>
      <c r="F184" s="75" t="str">
        <f>'Avail List'!D193</f>
        <v>JAH FARMING</v>
      </c>
      <c r="G184" s="75"/>
      <c r="H184" s="75"/>
      <c r="I184" s="78">
        <f>'Avail List'!I193</f>
        <v>51</v>
      </c>
      <c r="J184" s="75">
        <f>'Avail List'!J193</f>
        <v>0</v>
      </c>
      <c r="K184" s="76" t="s">
        <v>1066</v>
      </c>
      <c r="L184" s="75"/>
      <c r="M184" s="75"/>
    </row>
    <row r="185" spans="1:13" s="86" customFormat="1" x14ac:dyDescent="0.25">
      <c r="A185" s="76" t="str">
        <f>'Avail List'!E194</f>
        <v xml:space="preserve">PAWRXJAH </v>
      </c>
      <c r="B185" s="75" t="s">
        <v>15</v>
      </c>
      <c r="C185" s="75" t="str">
        <f>'Avail List'!A194</f>
        <v xml:space="preserve">PAPAYA </v>
      </c>
      <c r="D185" s="77" t="str">
        <f>'Avail List'!B194</f>
        <v>BX</v>
      </c>
      <c r="E185" s="77" t="str">
        <f>'Avail List'!C194</f>
        <v>10KG</v>
      </c>
      <c r="F185" s="75" t="str">
        <f>'Avail List'!D194</f>
        <v>JAH FARMING</v>
      </c>
      <c r="G185" s="75"/>
      <c r="H185" s="75"/>
      <c r="I185" s="78">
        <f>'Avail List'!I194</f>
        <v>82</v>
      </c>
      <c r="J185" s="75" t="str">
        <f>'Avail List'!J194</f>
        <v>LARGE FRUIT</v>
      </c>
      <c r="K185" s="76" t="s">
        <v>1067</v>
      </c>
      <c r="L185" s="75"/>
      <c r="M185" s="75"/>
    </row>
    <row r="186" spans="1:13" s="86" customFormat="1" x14ac:dyDescent="0.25">
      <c r="A186" s="76" t="str">
        <f>'Avail List'!E195</f>
        <v>PASLAK</v>
      </c>
      <c r="B186" s="75" t="s">
        <v>15</v>
      </c>
      <c r="C186" s="75" t="str">
        <f>'Avail List'!A195</f>
        <v>PASSIONFRUIT</v>
      </c>
      <c r="D186" s="77" t="str">
        <f>'Avail List'!B195</f>
        <v>KG</v>
      </c>
      <c r="E186" s="77" t="str">
        <f>'Avail List'!C195</f>
        <v>PER KG</v>
      </c>
      <c r="F186" s="75" t="str">
        <f>'Avail List'!D195</f>
        <v xml:space="preserve">LAKELAND </v>
      </c>
      <c r="G186" s="75"/>
      <c r="H186" s="75"/>
      <c r="I186" s="78">
        <f>'Avail List'!I195</f>
        <v>14</v>
      </c>
      <c r="J186" s="75" t="str">
        <f>'Avail List'!J195</f>
        <v>EXTREMELY LIMITED</v>
      </c>
      <c r="K186" s="76" t="s">
        <v>1068</v>
      </c>
      <c r="L186" s="75"/>
      <c r="M186" s="75"/>
    </row>
    <row r="187" spans="1:13" s="86" customFormat="1" x14ac:dyDescent="0.25">
      <c r="A187" s="76" t="str">
        <f>'Avail List'!E196</f>
        <v>PERBFRS</v>
      </c>
      <c r="B187" s="75" t="s">
        <v>15</v>
      </c>
      <c r="C187" s="75" t="str">
        <f>'Avail List'!A196</f>
        <v>PEAR BEURRE BOSC 15KG</v>
      </c>
      <c r="D187" s="77" t="str">
        <f>'Avail List'!B196</f>
        <v>BX</v>
      </c>
      <c r="E187" s="77" t="str">
        <f>'Avail List'!C196</f>
        <v xml:space="preserve">15KG  </v>
      </c>
      <c r="F187" s="75" t="str">
        <f>'Avail List'!D196</f>
        <v>FOREST ORCHARDS</v>
      </c>
      <c r="G187" s="75"/>
      <c r="H187" s="75"/>
      <c r="I187" s="78">
        <f>'Avail List'!I196</f>
        <v>100</v>
      </c>
      <c r="J187" s="75">
        <f>'Avail List'!J196</f>
        <v>0</v>
      </c>
      <c r="K187" s="76" t="s">
        <v>1069</v>
      </c>
      <c r="L187" s="75"/>
      <c r="M187" s="75"/>
    </row>
    <row r="188" spans="1:13" s="86" customFormat="1" x14ac:dyDescent="0.25">
      <c r="A188" s="76" t="str">
        <f>'Avail List'!E197</f>
        <v>PERPGVI</v>
      </c>
      <c r="B188" s="75" t="s">
        <v>15</v>
      </c>
      <c r="C188" s="75" t="str">
        <f>'Avail List'!A197</f>
        <v>PEAR PACKHAM 15KG</v>
      </c>
      <c r="D188" s="77" t="str">
        <f>'Avail List'!B197</f>
        <v>BX</v>
      </c>
      <c r="E188" s="77" t="str">
        <f>'Avail List'!C197</f>
        <v xml:space="preserve">15KG  </v>
      </c>
      <c r="F188" s="75" t="str">
        <f>'Avail List'!D197</f>
        <v>GVIP</v>
      </c>
      <c r="G188" s="75"/>
      <c r="H188" s="75"/>
      <c r="I188" s="78">
        <f>'Avail List'!I197</f>
        <v>80</v>
      </c>
      <c r="J188" s="75">
        <f>'Avail List'!J197</f>
        <v>0</v>
      </c>
      <c r="K188" s="76" t="s">
        <v>1070</v>
      </c>
      <c r="L188" s="75"/>
      <c r="M188" s="75"/>
    </row>
    <row r="189" spans="1:13" s="86" customFormat="1" x14ac:dyDescent="0.25">
      <c r="A189" s="76" t="str">
        <f>'Avail List'!E198</f>
        <v>PERPFRS</v>
      </c>
      <c r="B189" s="75" t="s">
        <v>15</v>
      </c>
      <c r="C189" s="75" t="str">
        <f>'Avail List'!A198</f>
        <v>PEAR PACKHAM 15KG</v>
      </c>
      <c r="D189" s="77" t="str">
        <f>'Avail List'!B198</f>
        <v>BX</v>
      </c>
      <c r="E189" s="77" t="str">
        <f>'Avail List'!C198</f>
        <v xml:space="preserve">15KG  </v>
      </c>
      <c r="F189" s="75" t="str">
        <f>'Avail List'!D198</f>
        <v>FOREST ORCHARDS</v>
      </c>
      <c r="G189" s="75"/>
      <c r="H189" s="75"/>
      <c r="I189" s="78">
        <f>'Avail List'!I198</f>
        <v>100</v>
      </c>
      <c r="J189" s="75">
        <f>'Avail List'!J198</f>
        <v>0</v>
      </c>
      <c r="K189" s="76" t="s">
        <v>1071</v>
      </c>
      <c r="L189" s="75"/>
      <c r="M189" s="75"/>
    </row>
    <row r="190" spans="1:13" s="86" customFormat="1" x14ac:dyDescent="0.25">
      <c r="A190" s="76" t="str">
        <f>'Avail List'!E199</f>
        <v>PERPPOZ</v>
      </c>
      <c r="B190" s="75" t="s">
        <v>15</v>
      </c>
      <c r="C190" s="75" t="str">
        <f>'Avail List'!A199</f>
        <v>PEAR PACKHAM</v>
      </c>
      <c r="D190" s="77" t="str">
        <f>'Avail List'!B199</f>
        <v>BX</v>
      </c>
      <c r="E190" s="77" t="str">
        <f>'Avail List'!C199</f>
        <v>10KG</v>
      </c>
      <c r="F190" s="75" t="str">
        <f>'Avail List'!D199</f>
        <v>MCMAHON (POZIERES)</v>
      </c>
      <c r="G190" s="75"/>
      <c r="H190" s="75"/>
      <c r="I190" s="78">
        <f>'Avail List'!I199</f>
        <v>73</v>
      </c>
      <c r="J190" s="75">
        <f>'Avail List'!J199</f>
        <v>0</v>
      </c>
      <c r="K190" s="76" t="s">
        <v>1072</v>
      </c>
      <c r="L190" s="75"/>
      <c r="M190" s="75"/>
    </row>
    <row r="191" spans="1:13" s="86" customFormat="1" x14ac:dyDescent="0.25">
      <c r="A191" s="76" t="str">
        <f>'Avail List'!E200</f>
        <v>QUIWAT</v>
      </c>
      <c r="B191" s="75" t="s">
        <v>15</v>
      </c>
      <c r="C191" s="75" t="str">
        <f>'Avail List'!A200</f>
        <v>QUINCE</v>
      </c>
      <c r="D191" s="77" t="str">
        <f>'Avail List'!B200</f>
        <v>BX</v>
      </c>
      <c r="E191" s="77" t="str">
        <f>'Avail List'!C200</f>
        <v>9KG</v>
      </c>
      <c r="F191" s="75" t="str">
        <f>'Avail List'!D200</f>
        <v>WATTLE GROVE</v>
      </c>
      <c r="G191" s="75"/>
      <c r="H191" s="75"/>
      <c r="I191" s="78">
        <f>'Avail List'!I200</f>
        <v>40</v>
      </c>
      <c r="J191" s="75">
        <f>'Avail List'!J200</f>
        <v>0</v>
      </c>
      <c r="K191" s="76" t="s">
        <v>1073</v>
      </c>
      <c r="L191" s="75"/>
      <c r="M191" s="75"/>
    </row>
    <row r="192" spans="1:13" s="86" customFormat="1" x14ac:dyDescent="0.25">
      <c r="A192" s="76" t="str">
        <f>'Avail List'!E201</f>
        <v>SAPFUN</v>
      </c>
      <c r="B192" s="75" t="s">
        <v>15</v>
      </c>
      <c r="C192" s="75" t="str">
        <f>'Avail List'!A201</f>
        <v>SAPOTE BLACK</v>
      </c>
      <c r="D192" s="77" t="str">
        <f>'Avail List'!B201</f>
        <v>TR</v>
      </c>
      <c r="E192" s="77" t="str">
        <f>'Avail List'!C201</f>
        <v>TR</v>
      </c>
      <c r="F192" s="75" t="str">
        <f>'Avail List'!D201</f>
        <v>FURNESS</v>
      </c>
      <c r="G192" s="75"/>
      <c r="H192" s="75"/>
      <c r="I192" s="78">
        <f>'Avail List'!I201</f>
        <v>40</v>
      </c>
      <c r="J192" s="75" t="str">
        <f>'Avail List'!J201</f>
        <v>NEW LINE</v>
      </c>
      <c r="K192" s="76" t="s">
        <v>1074</v>
      </c>
      <c r="L192" s="75"/>
      <c r="M192" s="75"/>
    </row>
    <row r="193" spans="1:13" s="86" customFormat="1" x14ac:dyDescent="0.25">
      <c r="A193" s="76" t="str">
        <f>'Avail List'!E202</f>
        <v>STRCCH</v>
      </c>
      <c r="B193" s="75" t="s">
        <v>15</v>
      </c>
      <c r="C193" s="75" t="str">
        <f>'Avail List'!A202</f>
        <v>STRAWBERRIES</v>
      </c>
      <c r="D193" s="77" t="str">
        <f>'Avail List'!B202</f>
        <v>EA</v>
      </c>
      <c r="E193" s="77" t="str">
        <f>'Avail List'!C202</f>
        <v xml:space="preserve">1PT </v>
      </c>
      <c r="F193" s="75" t="str">
        <f>'Avail List'!D202</f>
        <v>COOCHIN HILLS</v>
      </c>
      <c r="G193" s="75"/>
      <c r="H193" s="75"/>
      <c r="I193" s="78">
        <f>'Avail List'!I202</f>
        <v>6.2</v>
      </c>
      <c r="J193" s="75" t="str">
        <f>'Avail List'!J202</f>
        <v>18+ @ $5.75 PT</v>
      </c>
      <c r="K193" s="76" t="s">
        <v>1075</v>
      </c>
      <c r="L193" s="75"/>
      <c r="M193" s="75"/>
    </row>
    <row r="194" spans="1:13" x14ac:dyDescent="0.25">
      <c r="A194" s="76" t="str">
        <f>'Avail List'!E203</f>
        <v>TANXKAR</v>
      </c>
      <c r="B194" s="75" t="s">
        <v>15</v>
      </c>
      <c r="C194" s="75" t="str">
        <f>'Avail List'!A203</f>
        <v>TANGELO</v>
      </c>
      <c r="D194" s="77" t="str">
        <f>'Avail List'!B203</f>
        <v>BX</v>
      </c>
      <c r="E194" s="77" t="str">
        <f>'Avail List'!C203</f>
        <v>9KG</v>
      </c>
      <c r="F194" s="75" t="str">
        <f>'Avail List'!D203</f>
        <v>KARRA ORGANIC</v>
      </c>
      <c r="I194" s="78">
        <f>'Avail List'!I203</f>
        <v>60</v>
      </c>
      <c r="J194" s="75" t="str">
        <f>'Avail List'!J203</f>
        <v>BACK IN STOCK</v>
      </c>
      <c r="K194" s="76" t="s">
        <v>1076</v>
      </c>
    </row>
    <row r="195" spans="1:13" x14ac:dyDescent="0.25">
      <c r="A195" s="76" t="str">
        <f>'Avail List'!E204</f>
        <v>MELSORA</v>
      </c>
      <c r="B195" s="75" t="s">
        <v>15</v>
      </c>
      <c r="C195" s="75" t="str">
        <f>'Avail List'!A204</f>
        <v>WATERMELON MINI SEEDLESS</v>
      </c>
      <c r="D195" s="77" t="str">
        <f>'Avail List'!B204</f>
        <v>KG</v>
      </c>
      <c r="E195" s="77" t="str">
        <f>'Avail List'!C204</f>
        <v>PER KG</v>
      </c>
      <c r="F195" s="75" t="str">
        <f>'Avail List'!D204</f>
        <v>ORGANIC AG</v>
      </c>
      <c r="I195" s="78">
        <f>'Avail List'!I204</f>
        <v>4</v>
      </c>
      <c r="J195" s="75" t="str">
        <f>'Avail List'!J204</f>
        <v>30KG+ @ $3.80</v>
      </c>
      <c r="K195" s="76" t="s">
        <v>1077</v>
      </c>
    </row>
    <row r="196" spans="1:13" x14ac:dyDescent="0.25">
      <c r="A196" s="76" t="str">
        <f>'Avail List'!E205</f>
        <v>KALES, SALADS &amp; SPINACH</v>
      </c>
      <c r="B196" s="75" t="s">
        <v>15</v>
      </c>
      <c r="C196" s="75">
        <f>'Avail List'!A205</f>
        <v>0</v>
      </c>
      <c r="D196" s="77">
        <f>'Avail List'!B205</f>
        <v>0</v>
      </c>
      <c r="E196" s="77">
        <f>'Avail List'!C205</f>
        <v>0</v>
      </c>
      <c r="F196" s="75">
        <f>'Avail List'!D205</f>
        <v>0</v>
      </c>
      <c r="I196" s="78">
        <f>'Avail List'!I205</f>
        <v>0</v>
      </c>
      <c r="J196" s="75">
        <f>'Avail List'!J205</f>
        <v>0</v>
      </c>
      <c r="K196" s="76" t="s">
        <v>1078</v>
      </c>
    </row>
    <row r="197" spans="1:13" x14ac:dyDescent="0.25">
      <c r="A197" s="76" t="str">
        <f>'Avail List'!E206</f>
        <v>CODE</v>
      </c>
      <c r="B197" s="75" t="s">
        <v>15</v>
      </c>
      <c r="C197" s="75" t="str">
        <f>'Avail List'!A206</f>
        <v>PRODUCT</v>
      </c>
      <c r="D197" s="77" t="str">
        <f>'Avail List'!B206</f>
        <v>SIZE</v>
      </c>
      <c r="E197" s="77">
        <f>'Avail List'!C206</f>
        <v>0</v>
      </c>
      <c r="F197" s="75" t="str">
        <f>'Avail List'!D206</f>
        <v>GROWER</v>
      </c>
      <c r="I197" s="78" t="str">
        <f>'Avail List'!I206</f>
        <v>PRICE</v>
      </c>
      <c r="J197" s="75" t="str">
        <f>'Avail List'!J206</f>
        <v>COMMENTS / SPECIFIC REQUESTS</v>
      </c>
      <c r="K197" s="76" t="s">
        <v>1079</v>
      </c>
    </row>
    <row r="198" spans="1:13" x14ac:dyDescent="0.25">
      <c r="A198" s="76" t="str">
        <f>'Avail List'!E207</f>
        <v>KALSUT</v>
      </c>
      <c r="B198" s="75" t="s">
        <v>15</v>
      </c>
      <c r="C198" s="75" t="str">
        <f>'Avail List'!A207</f>
        <v>KALE GREEN</v>
      </c>
      <c r="D198" s="77" t="str">
        <f>'Avail List'!B207</f>
        <v>EA</v>
      </c>
      <c r="E198" s="77" t="str">
        <f>'Avail List'!C207</f>
        <v xml:space="preserve">1BN  </v>
      </c>
      <c r="F198" s="75" t="str">
        <f>'Avail List'!D207</f>
        <v>FORDSDALE</v>
      </c>
      <c r="I198" s="78">
        <f>'Avail List'!I207</f>
        <v>3.7</v>
      </c>
      <c r="J198" s="75" t="str">
        <f>'Avail List'!J207</f>
        <v>10+ @ $3.45 BN</v>
      </c>
      <c r="K198" s="76" t="s">
        <v>1080</v>
      </c>
    </row>
    <row r="199" spans="1:13" x14ac:dyDescent="0.25">
      <c r="A199" s="76" t="str">
        <f>'Avail List'!E208</f>
        <v>KALBLUN KALBSUT KALBCRE</v>
      </c>
      <c r="B199" s="75" t="s">
        <v>15</v>
      </c>
      <c r="C199" s="75" t="str">
        <f>'Avail List'!A208</f>
        <v>KALE BLACK</v>
      </c>
      <c r="D199" s="77" t="str">
        <f>'Avail List'!B208</f>
        <v>EA</v>
      </c>
      <c r="E199" s="77" t="str">
        <f>'Avail List'!C208</f>
        <v xml:space="preserve">1BN  </v>
      </c>
      <c r="F199" s="75" t="str">
        <f>'Avail List'!D208</f>
        <v>LUNAR FORDSDALE CREMONA</v>
      </c>
      <c r="I199" s="78">
        <f>'Avail List'!I208</f>
        <v>3.7</v>
      </c>
      <c r="J199" s="75" t="str">
        <f>'Avail List'!J208</f>
        <v>LIMITED</v>
      </c>
      <c r="K199" s="76" t="s">
        <v>1081</v>
      </c>
    </row>
    <row r="200" spans="1:13" x14ac:dyDescent="0.25">
      <c r="A200" s="76" t="str">
        <f>'Avail List'!E209</f>
        <v>ENGCOO</v>
      </c>
      <c r="B200" s="75" t="s">
        <v>15</v>
      </c>
      <c r="C200" s="75" t="str">
        <f>'Avail List'!A209</f>
        <v xml:space="preserve">ENGLISH SPINACH BUNCH </v>
      </c>
      <c r="D200" s="77" t="str">
        <f>'Avail List'!B209</f>
        <v>EA</v>
      </c>
      <c r="E200" s="77" t="str">
        <f>'Avail List'!C209</f>
        <v>1 BN</v>
      </c>
      <c r="F200" s="75" t="str">
        <f>'Avail List'!D209</f>
        <v>COOLIBAH HERBS</v>
      </c>
      <c r="I200" s="78">
        <f>'Avail List'!I209</f>
        <v>3.9</v>
      </c>
      <c r="J200" s="75">
        <f>'Avail List'!J209</f>
        <v>0</v>
      </c>
      <c r="K200" s="76" t="s">
        <v>1082</v>
      </c>
    </row>
    <row r="201" spans="1:13" x14ac:dyDescent="0.25">
      <c r="A201" s="76" t="str">
        <f>'Avail List'!E210</f>
        <v>LETMSCOO</v>
      </c>
      <c r="B201" s="75" t="s">
        <v>15</v>
      </c>
      <c r="C201" s="75" t="str">
        <f>'Avail List'!A210</f>
        <v>SALAD LETTUCE MIX 1.5KG</v>
      </c>
      <c r="D201" s="77" t="str">
        <f>'Avail List'!B210</f>
        <v>BX</v>
      </c>
      <c r="E201" s="77" t="str">
        <f>'Avail List'!C210</f>
        <v>1.5KG</v>
      </c>
      <c r="F201" s="75" t="str">
        <f>'Avail List'!D210</f>
        <v>COOLIBAH HERBS</v>
      </c>
      <c r="I201" s="78">
        <f>'Avail List'!I210</f>
        <v>29</v>
      </c>
      <c r="J201" s="75">
        <f>'Avail List'!J210</f>
        <v>0</v>
      </c>
      <c r="K201" s="76" t="s">
        <v>1083</v>
      </c>
    </row>
    <row r="202" spans="1:13" x14ac:dyDescent="0.25">
      <c r="A202" s="76" t="str">
        <f>'Avail List'!E211</f>
        <v>BABSALPCOO</v>
      </c>
      <c r="B202" s="75" t="s">
        <v>15</v>
      </c>
      <c r="C202" s="75" t="str">
        <f>'Avail List'!A211</f>
        <v>SALAD LETTUCE MIX PUNNET 120G</v>
      </c>
      <c r="D202" s="77" t="str">
        <f>'Avail List'!B211</f>
        <v>EA</v>
      </c>
      <c r="E202" s="77" t="str">
        <f>'Avail List'!C211</f>
        <v>1 PNT</v>
      </c>
      <c r="F202" s="75" t="str">
        <f>'Avail List'!D211</f>
        <v>COOLIBAH HERBS</v>
      </c>
      <c r="I202" s="78">
        <f>'Avail List'!I211</f>
        <v>3.9</v>
      </c>
      <c r="J202" s="75" t="str">
        <f>'Avail List'!J211</f>
        <v xml:space="preserve">15+ @ $3.75 PT </v>
      </c>
      <c r="K202" s="76" t="s">
        <v>1084</v>
      </c>
    </row>
    <row r="203" spans="1:13" x14ac:dyDescent="0.25">
      <c r="A203" s="76" t="str">
        <f>'Avail List'!E212</f>
        <v>BASPPCOO</v>
      </c>
      <c r="B203" s="75" t="s">
        <v>15</v>
      </c>
      <c r="C203" s="75" t="str">
        <f>'Avail List'!A212</f>
        <v>SPINACH BABY PUNNET 120G</v>
      </c>
      <c r="D203" s="77" t="str">
        <f>'Avail List'!B212</f>
        <v>EA</v>
      </c>
      <c r="E203" s="77" t="str">
        <f>'Avail List'!C212</f>
        <v>1 PNT</v>
      </c>
      <c r="F203" s="75" t="str">
        <f>'Avail List'!D212</f>
        <v>COOLIBAH HERBS</v>
      </c>
      <c r="I203" s="78">
        <f>'Avail List'!I212</f>
        <v>3.9</v>
      </c>
      <c r="J203" s="75" t="str">
        <f>'Avail List'!J212</f>
        <v xml:space="preserve">15+ @ $3.75 PT </v>
      </c>
      <c r="K203" s="76" t="s">
        <v>1085</v>
      </c>
    </row>
    <row r="204" spans="1:13" x14ac:dyDescent="0.25">
      <c r="A204" s="76" t="str">
        <f>'Avail List'!E213</f>
        <v>SPICOO</v>
      </c>
      <c r="B204" s="75" t="s">
        <v>15</v>
      </c>
      <c r="C204" s="75" t="str">
        <f>'Avail List'!A213</f>
        <v>SPINACH BULK 1.5KG</v>
      </c>
      <c r="D204" s="77" t="str">
        <f>'Avail List'!B213</f>
        <v>EA</v>
      </c>
      <c r="E204" s="77" t="str">
        <f>'Avail List'!C213</f>
        <v>1.5KG</v>
      </c>
      <c r="F204" s="75" t="str">
        <f>'Avail List'!D213</f>
        <v>COOLIBAH HERBS</v>
      </c>
      <c r="I204" s="78">
        <f>'Avail List'!I213</f>
        <v>29</v>
      </c>
      <c r="J204" s="75">
        <f>'Avail List'!J213</f>
        <v>0</v>
      </c>
      <c r="K204" s="76" t="s">
        <v>1086</v>
      </c>
    </row>
    <row r="205" spans="1:13" x14ac:dyDescent="0.25">
      <c r="A205" s="76" t="str">
        <f>'Avail List'!E214</f>
        <v>HROCPCOO</v>
      </c>
      <c r="B205" s="75" t="s">
        <v>15</v>
      </c>
      <c r="C205" s="75" t="str">
        <f>'Avail List'!A214</f>
        <v>ROCKET PUNNET 120G</v>
      </c>
      <c r="D205" s="77" t="str">
        <f>'Avail List'!B214</f>
        <v>EA</v>
      </c>
      <c r="E205" s="77" t="str">
        <f>'Avail List'!C214</f>
        <v>1PNT</v>
      </c>
      <c r="F205" s="75" t="str">
        <f>'Avail List'!D214</f>
        <v>COOLIBAH HERBS</v>
      </c>
      <c r="I205" s="78">
        <f>'Avail List'!I214</f>
        <v>3.9</v>
      </c>
      <c r="J205" s="75" t="str">
        <f>'Avail List'!J214</f>
        <v xml:space="preserve">BACK IN STOCK - LIMITED 15+ @ $3.75 PT </v>
      </c>
      <c r="K205" s="76" t="s">
        <v>1087</v>
      </c>
    </row>
    <row r="206" spans="1:13" x14ac:dyDescent="0.25">
      <c r="A206" s="76" t="str">
        <f>'Avail List'!E215</f>
        <v>SUPFCOO</v>
      </c>
      <c r="B206" s="75" t="s">
        <v>15</v>
      </c>
      <c r="C206" s="75" t="str">
        <f>'Avail List'!A215</f>
        <v>SUPERFOOD MIX 1.5KG</v>
      </c>
      <c r="D206" s="77" t="str">
        <f>'Avail List'!B215</f>
        <v>EA</v>
      </c>
      <c r="E206" s="77" t="str">
        <f>'Avail List'!C215</f>
        <v>1.5KG</v>
      </c>
      <c r="F206" s="75" t="str">
        <f>'Avail List'!D215</f>
        <v>COOLIBAH HERBS</v>
      </c>
      <c r="I206" s="78">
        <f>'Avail List'!I215</f>
        <v>29</v>
      </c>
      <c r="J206" s="75">
        <f>'Avail List'!J215</f>
        <v>0</v>
      </c>
      <c r="K206" s="76" t="s">
        <v>1088</v>
      </c>
    </row>
    <row r="207" spans="1:13" x14ac:dyDescent="0.25">
      <c r="A207" s="76" t="str">
        <f>'Avail List'!E216</f>
        <v>SUPFPCOO</v>
      </c>
      <c r="B207" s="75" t="s">
        <v>15</v>
      </c>
      <c r="C207" s="75" t="str">
        <f>'Avail List'!A216</f>
        <v>SUPERFOOD MIX PUNNET 120G</v>
      </c>
      <c r="D207" s="77" t="str">
        <f>'Avail List'!B216</f>
        <v>EA</v>
      </c>
      <c r="E207" s="77" t="str">
        <f>'Avail List'!C216</f>
        <v>1 PNT</v>
      </c>
      <c r="F207" s="75" t="str">
        <f>'Avail List'!D216</f>
        <v>COOLIBAH HERBS</v>
      </c>
      <c r="I207" s="78">
        <f>'Avail List'!I216</f>
        <v>3.9</v>
      </c>
      <c r="J207" s="75" t="str">
        <f>'Avail List'!J216</f>
        <v xml:space="preserve">15+ @ $3.75 PT </v>
      </c>
      <c r="K207" s="76" t="s">
        <v>1089</v>
      </c>
    </row>
    <row r="208" spans="1:13" x14ac:dyDescent="0.25">
      <c r="A208" s="76" t="str">
        <f>'Avail List'!E217</f>
        <v>HERBS</v>
      </c>
      <c r="B208" s="75" t="s">
        <v>15</v>
      </c>
      <c r="C208" s="75">
        <f>'Avail List'!A217</f>
        <v>0</v>
      </c>
      <c r="D208" s="77">
        <f>'Avail List'!B217</f>
        <v>0</v>
      </c>
      <c r="E208" s="77">
        <f>'Avail List'!C217</f>
        <v>0</v>
      </c>
      <c r="F208" s="75">
        <f>'Avail List'!D217</f>
        <v>0</v>
      </c>
      <c r="I208" s="78">
        <f>'Avail List'!I217</f>
        <v>0</v>
      </c>
      <c r="J208" s="75">
        <f>'Avail List'!J217</f>
        <v>0</v>
      </c>
      <c r="K208" s="76" t="s">
        <v>1090</v>
      </c>
    </row>
    <row r="209" spans="1:11" x14ac:dyDescent="0.25">
      <c r="A209" s="76" t="str">
        <f>'Avail List'!E218</f>
        <v>CODE</v>
      </c>
      <c r="B209" s="75" t="s">
        <v>15</v>
      </c>
      <c r="C209" s="75" t="str">
        <f>'Avail List'!A218</f>
        <v>PRODUCT</v>
      </c>
      <c r="D209" s="77" t="str">
        <f>'Avail List'!B218</f>
        <v>SIZE</v>
      </c>
      <c r="E209" s="77">
        <f>'Avail List'!C218</f>
        <v>0</v>
      </c>
      <c r="F209" s="75" t="str">
        <f>'Avail List'!D218</f>
        <v>GROWER</v>
      </c>
      <c r="I209" s="78" t="str">
        <f>'Avail List'!I218</f>
        <v>PRICE</v>
      </c>
      <c r="J209" s="75" t="str">
        <f>'Avail List'!J218</f>
        <v>COMMENTS / SPECIFIC REQUESTS</v>
      </c>
      <c r="K209" s="76" t="s">
        <v>1091</v>
      </c>
    </row>
    <row r="210" spans="1:11" x14ac:dyDescent="0.25">
      <c r="A210" s="76" t="str">
        <f>'Avail List'!E219</f>
        <v>HBAYJAR</v>
      </c>
      <c r="B210" s="75" t="s">
        <v>15</v>
      </c>
      <c r="C210" s="75" t="str">
        <f>'Avail List'!A219</f>
        <v>HERBS BAY LEAVES</v>
      </c>
      <c r="D210" s="77" t="str">
        <f>'Avail List'!B219</f>
        <v>EA</v>
      </c>
      <c r="E210" s="77" t="str">
        <f>'Avail List'!C219</f>
        <v xml:space="preserve">1BN  </v>
      </c>
      <c r="F210" s="75" t="str">
        <f>'Avail List'!D219</f>
        <v>JARCMAN</v>
      </c>
      <c r="I210" s="78">
        <f>'Avail List'!I219</f>
        <v>3.5</v>
      </c>
      <c r="J210" s="75">
        <f>'Avail List'!J219</f>
        <v>0</v>
      </c>
      <c r="K210" s="76" t="s">
        <v>1092</v>
      </c>
    </row>
    <row r="211" spans="1:11" x14ac:dyDescent="0.25">
      <c r="A211" s="76" t="str">
        <f>'Avail List'!E220</f>
        <v>HCORCOO HCORJAR</v>
      </c>
      <c r="B211" s="75" t="s">
        <v>15</v>
      </c>
      <c r="C211" s="75" t="str">
        <f>'Avail List'!A220</f>
        <v>HERBS CORIANDER</v>
      </c>
      <c r="D211" s="77" t="str">
        <f>'Avail List'!B220</f>
        <v>EA</v>
      </c>
      <c r="E211" s="77" t="str">
        <f>'Avail List'!C220</f>
        <v xml:space="preserve">1BN  </v>
      </c>
      <c r="F211" s="75" t="str">
        <f>'Avail List'!D220</f>
        <v>COOLIBAH HERBS JARCMAN</v>
      </c>
      <c r="I211" s="78">
        <f>'Avail List'!I220</f>
        <v>3.2</v>
      </c>
      <c r="J211" s="75">
        <f>'Avail List'!J220</f>
        <v>0</v>
      </c>
      <c r="K211" s="76" t="s">
        <v>1093</v>
      </c>
    </row>
    <row r="212" spans="1:11" x14ac:dyDescent="0.25">
      <c r="A212" s="76" t="str">
        <f>'Avail List'!E221</f>
        <v xml:space="preserve">HCORSCOO </v>
      </c>
      <c r="B212" s="75" t="s">
        <v>15</v>
      </c>
      <c r="C212" s="75" t="str">
        <f>'Avail List'!A221</f>
        <v>HERBS CORIANDER SLEEVE</v>
      </c>
      <c r="D212" s="77" t="str">
        <f>'Avail List'!B221</f>
        <v>EA</v>
      </c>
      <c r="E212" s="77" t="str">
        <f>'Avail List'!C221</f>
        <v>1SLV</v>
      </c>
      <c r="F212" s="75" t="str">
        <f>'Avail List'!D221</f>
        <v xml:space="preserve">COOLIBAH HERBS </v>
      </c>
      <c r="I212" s="78">
        <f>'Avail List'!I221</f>
        <v>3.7</v>
      </c>
      <c r="J212" s="75" t="str">
        <f>'Avail List'!J221</f>
        <v>SLEEVE</v>
      </c>
      <c r="K212" s="76" t="s">
        <v>1094</v>
      </c>
    </row>
    <row r="213" spans="1:11" x14ac:dyDescent="0.25">
      <c r="A213" s="76" t="str">
        <f>'Avail List'!E222</f>
        <v xml:space="preserve">HCORPCOO </v>
      </c>
      <c r="B213" s="75" t="s">
        <v>15</v>
      </c>
      <c r="C213" s="75" t="str">
        <f>'Avail List'!A222</f>
        <v>HERBS CORIANDER PUNNET</v>
      </c>
      <c r="D213" s="77" t="str">
        <f>'Avail List'!B222</f>
        <v>EA</v>
      </c>
      <c r="E213" s="77" t="str">
        <f>'Avail List'!C222</f>
        <v xml:space="preserve">1PT </v>
      </c>
      <c r="F213" s="75" t="str">
        <f>'Avail List'!D222</f>
        <v xml:space="preserve">COOLIBAH HERBS </v>
      </c>
      <c r="I213" s="78">
        <f>'Avail List'!I222</f>
        <v>2.9</v>
      </c>
      <c r="J213" s="75" t="str">
        <f>'Avail List'!J222</f>
        <v xml:space="preserve">PUNNET </v>
      </c>
      <c r="K213" s="76" t="s">
        <v>1095</v>
      </c>
    </row>
    <row r="214" spans="1:11" x14ac:dyDescent="0.25">
      <c r="A214" s="76" t="str">
        <f>'Avail List'!E223</f>
        <v>HLIMJAR</v>
      </c>
      <c r="B214" s="75" t="s">
        <v>15</v>
      </c>
      <c r="C214" s="75" t="str">
        <f>'Avail List'!A223</f>
        <v>HERBS KAFFIR LIME LEAVES</v>
      </c>
      <c r="D214" s="77" t="str">
        <f>'Avail List'!B223</f>
        <v>EA</v>
      </c>
      <c r="E214" s="77" t="str">
        <f>'Avail List'!C223</f>
        <v>1BG</v>
      </c>
      <c r="F214" s="75" t="str">
        <f>'Avail List'!D223</f>
        <v xml:space="preserve">JARCMAN.  </v>
      </c>
      <c r="I214" s="78">
        <f>'Avail List'!I223</f>
        <v>3.5</v>
      </c>
      <c r="J214" s="75">
        <f>'Avail List'!J223</f>
        <v>0</v>
      </c>
      <c r="K214" s="76" t="s">
        <v>1096</v>
      </c>
    </row>
    <row r="215" spans="1:11" x14ac:dyDescent="0.25">
      <c r="A215" s="76" t="str">
        <f>'Avail List'!E224</f>
        <v>HMINCOO</v>
      </c>
      <c r="B215" s="75" t="s">
        <v>15</v>
      </c>
      <c r="C215" s="75" t="str">
        <f>'Avail List'!A224</f>
        <v>HERBS MINT</v>
      </c>
      <c r="D215" s="77" t="str">
        <f>'Avail List'!B224</f>
        <v>EA</v>
      </c>
      <c r="E215" s="77" t="str">
        <f>'Avail List'!C224</f>
        <v xml:space="preserve">1BN  </v>
      </c>
      <c r="F215" s="75" t="str">
        <f>'Avail List'!D224</f>
        <v xml:space="preserve">COOLIBAH HERBS </v>
      </c>
      <c r="I215" s="78">
        <f>'Avail List'!I224</f>
        <v>3.5</v>
      </c>
      <c r="J215" s="75">
        <f>'Avail List'!J224</f>
        <v>0</v>
      </c>
      <c r="K215" s="76" t="s">
        <v>1097</v>
      </c>
    </row>
    <row r="216" spans="1:11" x14ac:dyDescent="0.25">
      <c r="A216" s="76" t="str">
        <f>'Avail List'!E225</f>
        <v>HMINSCOO</v>
      </c>
      <c r="B216" s="75" t="s">
        <v>15</v>
      </c>
      <c r="C216" s="75" t="str">
        <f>'Avail List'!A225</f>
        <v>HERBS MINT SLEEVE</v>
      </c>
      <c r="D216" s="77" t="str">
        <f>'Avail List'!B225</f>
        <v>EA</v>
      </c>
      <c r="E216" s="77" t="str">
        <f>'Avail List'!C225</f>
        <v>1SLV</v>
      </c>
      <c r="F216" s="75" t="str">
        <f>'Avail List'!D225</f>
        <v xml:space="preserve">COOLIBAH HERBS </v>
      </c>
      <c r="I216" s="78">
        <f>'Avail List'!I225</f>
        <v>3.7</v>
      </c>
      <c r="J216" s="75" t="str">
        <f>'Avail List'!J225</f>
        <v>SLEEVE</v>
      </c>
      <c r="K216" s="76" t="s">
        <v>1098</v>
      </c>
    </row>
    <row r="217" spans="1:11" x14ac:dyDescent="0.25">
      <c r="A217" s="76" t="str">
        <f>'Avail List'!E226</f>
        <v>HMINPCOO</v>
      </c>
      <c r="B217" s="75" t="s">
        <v>15</v>
      </c>
      <c r="C217" s="75" t="str">
        <f>'Avail List'!A226</f>
        <v>HERBS MINT PUNNET</v>
      </c>
      <c r="D217" s="77" t="str">
        <f>'Avail List'!B226</f>
        <v>EA</v>
      </c>
      <c r="E217" s="77" t="str">
        <f>'Avail List'!C226</f>
        <v xml:space="preserve">1BN  </v>
      </c>
      <c r="F217" s="75" t="str">
        <f>'Avail List'!D226</f>
        <v xml:space="preserve">COOLIBAH HERBS </v>
      </c>
      <c r="I217" s="78">
        <f>'Avail List'!I226</f>
        <v>2.9</v>
      </c>
      <c r="J217" s="75" t="str">
        <f>'Avail List'!J226</f>
        <v xml:space="preserve">PUNNET </v>
      </c>
      <c r="K217" s="76" t="s">
        <v>1099</v>
      </c>
    </row>
    <row r="218" spans="1:11" x14ac:dyDescent="0.25">
      <c r="A218" s="76" t="str">
        <f>'Avail List'!E227</f>
        <v>HPARJAR HPARLUN</v>
      </c>
      <c r="B218" s="75" t="s">
        <v>15</v>
      </c>
      <c r="C218" s="75" t="str">
        <f>'Avail List'!A227</f>
        <v>HERBS PARSLEY CURLY</v>
      </c>
      <c r="D218" s="77" t="str">
        <f>'Avail List'!B227</f>
        <v>EA</v>
      </c>
      <c r="E218" s="77" t="str">
        <f>'Avail List'!C227</f>
        <v xml:space="preserve">1BN  </v>
      </c>
      <c r="F218" s="75" t="str">
        <f>'Avail List'!D227</f>
        <v>JARCMAN LUNAR</v>
      </c>
      <c r="I218" s="78">
        <f>'Avail List'!I227</f>
        <v>3.2</v>
      </c>
      <c r="J218" s="75">
        <f>'Avail List'!J227</f>
        <v>0</v>
      </c>
      <c r="K218" s="76" t="s">
        <v>1100</v>
      </c>
    </row>
    <row r="219" spans="1:11" x14ac:dyDescent="0.25">
      <c r="A219" s="76" t="str">
        <f>'Avail List'!E228</f>
        <v>HPARFCOO HPARFJAR HPARFLUN</v>
      </c>
      <c r="B219" s="75" t="s">
        <v>15</v>
      </c>
      <c r="C219" s="75" t="str">
        <f>'Avail List'!A228</f>
        <v>HERBS PARSLEY FLAT</v>
      </c>
      <c r="D219" s="77" t="str">
        <f>'Avail List'!B228</f>
        <v>EA</v>
      </c>
      <c r="E219" s="77" t="str">
        <f>'Avail List'!C228</f>
        <v xml:space="preserve">1BN  </v>
      </c>
      <c r="F219" s="75" t="str">
        <f>'Avail List'!D228</f>
        <v>COOLIBAH HERBS JARCMAN LUNAR</v>
      </c>
      <c r="I219" s="78">
        <f>'Avail List'!I228</f>
        <v>3.2</v>
      </c>
      <c r="J219" s="75">
        <f>'Avail List'!J228</f>
        <v>0</v>
      </c>
      <c r="K219" s="76" t="s">
        <v>1101</v>
      </c>
    </row>
    <row r="220" spans="1:11" x14ac:dyDescent="0.25">
      <c r="A220" s="76" t="str">
        <f>'Avail List'!E229</f>
        <v xml:space="preserve">HPARFSCOO </v>
      </c>
      <c r="B220" s="75" t="s">
        <v>15</v>
      </c>
      <c r="C220" s="75" t="str">
        <f>'Avail List'!A229</f>
        <v>HERBS PARSLEY FLAT SLEEVE</v>
      </c>
      <c r="D220" s="77" t="str">
        <f>'Avail List'!B229</f>
        <v>EA</v>
      </c>
      <c r="E220" s="77" t="str">
        <f>'Avail List'!C229</f>
        <v>1SLV</v>
      </c>
      <c r="F220" s="75" t="str">
        <f>'Avail List'!D229</f>
        <v xml:space="preserve">COOLIBAH HERBS </v>
      </c>
      <c r="I220" s="78">
        <f>'Avail List'!I229</f>
        <v>3.7</v>
      </c>
      <c r="J220" s="75" t="str">
        <f>'Avail List'!J229</f>
        <v>SLEEVE</v>
      </c>
      <c r="K220" s="76" t="s">
        <v>1102</v>
      </c>
    </row>
    <row r="221" spans="1:11" x14ac:dyDescent="0.25">
      <c r="A221" s="76" t="str">
        <f>'Avail List'!E230</f>
        <v xml:space="preserve">HPARFPCOO </v>
      </c>
      <c r="B221" s="75" t="s">
        <v>15</v>
      </c>
      <c r="C221" s="75" t="str">
        <f>'Avail List'!A230</f>
        <v>HERBS PARSLEY FLAT PUNNET</v>
      </c>
      <c r="D221" s="77" t="str">
        <f>'Avail List'!B230</f>
        <v>EA</v>
      </c>
      <c r="E221" s="77" t="str">
        <f>'Avail List'!C230</f>
        <v xml:space="preserve">1PT </v>
      </c>
      <c r="F221" s="75" t="str">
        <f>'Avail List'!D230</f>
        <v xml:space="preserve">COOLIBAH HERBS </v>
      </c>
      <c r="I221" s="78">
        <f>'Avail List'!I230</f>
        <v>2.9</v>
      </c>
      <c r="J221" s="75" t="str">
        <f>'Avail List'!J230</f>
        <v xml:space="preserve">PUNNET </v>
      </c>
      <c r="K221" s="76" t="s">
        <v>1103</v>
      </c>
    </row>
    <row r="222" spans="1:11" x14ac:dyDescent="0.25">
      <c r="A222" s="76" t="str">
        <f>'Avail List'!E231</f>
        <v>HROSCOO</v>
      </c>
      <c r="B222" s="75" t="s">
        <v>15</v>
      </c>
      <c r="C222" s="75" t="str">
        <f>'Avail List'!A231</f>
        <v>HERBS ROSEMARY</v>
      </c>
      <c r="D222" s="77" t="str">
        <f>'Avail List'!B231</f>
        <v>EA</v>
      </c>
      <c r="E222" s="77" t="str">
        <f>'Avail List'!C231</f>
        <v xml:space="preserve">1BN  </v>
      </c>
      <c r="F222" s="75" t="str">
        <f>'Avail List'!D231</f>
        <v>COOLIBAH HERBS</v>
      </c>
      <c r="I222" s="78">
        <f>'Avail List'!I231</f>
        <v>3.5</v>
      </c>
      <c r="J222" s="75">
        <f>'Avail List'!J231</f>
        <v>0</v>
      </c>
      <c r="K222" s="76" t="s">
        <v>1104</v>
      </c>
    </row>
    <row r="223" spans="1:11" x14ac:dyDescent="0.25">
      <c r="A223" s="76" t="str">
        <f>'Avail List'!E232</f>
        <v>HROSSCOO</v>
      </c>
      <c r="B223" s="75" t="s">
        <v>15</v>
      </c>
      <c r="C223" s="75" t="str">
        <f>'Avail List'!A232</f>
        <v>HERBS ROSEMARY SLEEVE</v>
      </c>
      <c r="D223" s="77" t="str">
        <f>'Avail List'!B232</f>
        <v>EA</v>
      </c>
      <c r="E223" s="77" t="str">
        <f>'Avail List'!C232</f>
        <v>1SLV</v>
      </c>
      <c r="F223" s="75" t="str">
        <f>'Avail List'!D232</f>
        <v>COOLIBAH HERBS</v>
      </c>
      <c r="I223" s="78">
        <f>'Avail List'!I232</f>
        <v>3.7</v>
      </c>
      <c r="J223" s="75" t="str">
        <f>'Avail List'!J232</f>
        <v>SLEEVE</v>
      </c>
      <c r="K223" s="76" t="s">
        <v>1105</v>
      </c>
    </row>
    <row r="224" spans="1:11" x14ac:dyDescent="0.25">
      <c r="A224" s="76" t="str">
        <f>'Avail List'!E233</f>
        <v>HROSPCOO</v>
      </c>
      <c r="B224" s="75" t="s">
        <v>15</v>
      </c>
      <c r="C224" s="75" t="str">
        <f>'Avail List'!A233</f>
        <v>HERBS ROSEMARY PUNNET</v>
      </c>
      <c r="D224" s="77" t="str">
        <f>'Avail List'!B233</f>
        <v>EA</v>
      </c>
      <c r="E224" s="77" t="str">
        <f>'Avail List'!C233</f>
        <v xml:space="preserve">1BN  </v>
      </c>
      <c r="F224" s="75" t="str">
        <f>'Avail List'!D233</f>
        <v>COOLIBAH HERBS</v>
      </c>
      <c r="I224" s="78">
        <f>'Avail List'!I233</f>
        <v>2.9</v>
      </c>
      <c r="J224" s="75" t="str">
        <f>'Avail List'!J233</f>
        <v xml:space="preserve">PUNNET </v>
      </c>
      <c r="K224" s="76" t="s">
        <v>1106</v>
      </c>
    </row>
    <row r="225" spans="1:11" x14ac:dyDescent="0.25">
      <c r="A225" s="76" t="str">
        <f>'Avail List'!E234</f>
        <v>HTHYCOO</v>
      </c>
      <c r="B225" s="75" t="s">
        <v>15</v>
      </c>
      <c r="C225" s="75" t="str">
        <f>'Avail List'!A234</f>
        <v>HERBS THYME</v>
      </c>
      <c r="D225" s="77" t="str">
        <f>'Avail List'!B234</f>
        <v>EA</v>
      </c>
      <c r="E225" s="77" t="str">
        <f>'Avail List'!C234</f>
        <v xml:space="preserve">1BN  </v>
      </c>
      <c r="F225" s="75" t="str">
        <f>'Avail List'!D234</f>
        <v>COOLIBAH HERBS</v>
      </c>
      <c r="I225" s="78">
        <f>'Avail List'!I234</f>
        <v>3.5</v>
      </c>
      <c r="J225" s="75">
        <f>'Avail List'!J234</f>
        <v>0</v>
      </c>
      <c r="K225" s="76" t="s">
        <v>1107</v>
      </c>
    </row>
    <row r="226" spans="1:11" x14ac:dyDescent="0.25">
      <c r="A226" s="76" t="str">
        <f>'Avail List'!E235</f>
        <v>HTHYSCOO</v>
      </c>
      <c r="B226" s="75" t="s">
        <v>15</v>
      </c>
      <c r="C226" s="75" t="str">
        <f>'Avail List'!A235</f>
        <v>HERBS THYME SLEEVE</v>
      </c>
      <c r="D226" s="77" t="str">
        <f>'Avail List'!B235</f>
        <v>EA</v>
      </c>
      <c r="E226" s="77" t="str">
        <f>'Avail List'!C235</f>
        <v>1SLV</v>
      </c>
      <c r="F226" s="75" t="str">
        <f>'Avail List'!D235</f>
        <v>COOLIBAH HERBS</v>
      </c>
      <c r="I226" s="78">
        <f>'Avail List'!I235</f>
        <v>3.7</v>
      </c>
      <c r="J226" s="75" t="str">
        <f>'Avail List'!J235</f>
        <v>SLEEVE</v>
      </c>
      <c r="K226" s="76" t="s">
        <v>1108</v>
      </c>
    </row>
    <row r="227" spans="1:11" x14ac:dyDescent="0.25">
      <c r="A227" s="76" t="str">
        <f>'Avail List'!E236</f>
        <v>HTHYPCOO</v>
      </c>
      <c r="B227" s="75" t="s">
        <v>15</v>
      </c>
      <c r="C227" s="75" t="str">
        <f>'Avail List'!A236</f>
        <v>HERBS THYME PUNNET</v>
      </c>
      <c r="D227" s="77" t="str">
        <f>'Avail List'!B236</f>
        <v>EA</v>
      </c>
      <c r="E227" s="77" t="str">
        <f>'Avail List'!C236</f>
        <v xml:space="preserve">1BN  </v>
      </c>
      <c r="F227" s="75" t="str">
        <f>'Avail List'!D236</f>
        <v>COOLIBAH HERBS</v>
      </c>
      <c r="I227" s="78">
        <f>'Avail List'!I236</f>
        <v>2.9</v>
      </c>
      <c r="J227" s="75" t="str">
        <f>'Avail List'!J236</f>
        <v xml:space="preserve">PUNNET </v>
      </c>
      <c r="K227" s="76" t="s">
        <v>1109</v>
      </c>
    </row>
    <row r="228" spans="1:11" x14ac:dyDescent="0.25">
      <c r="A228" s="76" t="str">
        <f>'Avail List'!E237</f>
        <v>SPROUTS</v>
      </c>
      <c r="B228" s="75" t="s">
        <v>15</v>
      </c>
      <c r="C228" s="75">
        <f>'Avail List'!A237</f>
        <v>0</v>
      </c>
      <c r="D228" s="77">
        <f>'Avail List'!B237</f>
        <v>0</v>
      </c>
      <c r="E228" s="77">
        <f>'Avail List'!C237</f>
        <v>0</v>
      </c>
      <c r="F228" s="75">
        <f>'Avail List'!D237</f>
        <v>0</v>
      </c>
      <c r="I228" s="78">
        <f>'Avail List'!I237</f>
        <v>0</v>
      </c>
      <c r="J228" s="75">
        <f>'Avail List'!J237</f>
        <v>0</v>
      </c>
      <c r="K228" s="76" t="s">
        <v>1110</v>
      </c>
    </row>
    <row r="229" spans="1:11" x14ac:dyDescent="0.25">
      <c r="A229" s="76" t="str">
        <f>'Avail List'!E238</f>
        <v>CODE</v>
      </c>
      <c r="B229" s="75" t="s">
        <v>15</v>
      </c>
      <c r="C229" s="75" t="str">
        <f>'Avail List'!A238</f>
        <v>PRODUCT</v>
      </c>
      <c r="D229" s="77" t="str">
        <f>'Avail List'!B238</f>
        <v>SIZE</v>
      </c>
      <c r="E229" s="77">
        <f>'Avail List'!C238</f>
        <v>0</v>
      </c>
      <c r="F229" s="75" t="str">
        <f>'Avail List'!D238</f>
        <v>GROWER</v>
      </c>
      <c r="I229" s="78" t="str">
        <f>'Avail List'!I238</f>
        <v>PRICE</v>
      </c>
      <c r="J229" s="75" t="str">
        <f>'Avail List'!J238</f>
        <v>COMMENTS / SPECIFIC REQUESTS</v>
      </c>
      <c r="K229" s="76" t="s">
        <v>1111</v>
      </c>
    </row>
    <row r="230" spans="1:11" x14ac:dyDescent="0.25">
      <c r="A230" s="76" t="str">
        <f>'Avail List'!E239</f>
        <v>SPRBRENE</v>
      </c>
      <c r="B230" s="75" t="s">
        <v>15</v>
      </c>
      <c r="C230" s="75" t="str">
        <f>'Avail List'!A239</f>
        <v>SPROUTS BROCCOLI 50G</v>
      </c>
      <c r="D230" s="77" t="str">
        <f>'Avail List'!B239</f>
        <v>EA</v>
      </c>
      <c r="E230" s="77" t="str">
        <f>'Avail List'!C239</f>
        <v>1 PNT</v>
      </c>
      <c r="F230" s="75" t="str">
        <f>'Avail List'!D239</f>
        <v>ENERGETIC GREENS</v>
      </c>
      <c r="I230" s="78">
        <f>'Avail List'!I239</f>
        <v>5</v>
      </c>
      <c r="J230" s="75" t="str">
        <f>'Avail List'!J239</f>
        <v>Landing Wednesday</v>
      </c>
      <c r="K230" s="76" t="s">
        <v>1112</v>
      </c>
    </row>
    <row r="231" spans="1:11" x14ac:dyDescent="0.25">
      <c r="A231" s="76" t="str">
        <f>'Avail List'!E240</f>
        <v>SPRRENE</v>
      </c>
      <c r="B231" s="75" t="s">
        <v>15</v>
      </c>
      <c r="C231" s="75" t="str">
        <f>'Avail List'!A240</f>
        <v>SPROUTS RADISH 50G</v>
      </c>
      <c r="D231" s="77" t="str">
        <f>'Avail List'!B240</f>
        <v>EA</v>
      </c>
      <c r="E231" s="77" t="str">
        <f>'Avail List'!C240</f>
        <v>1 PNT</v>
      </c>
      <c r="F231" s="75" t="str">
        <f>'Avail List'!D240</f>
        <v>ENERGETIC GREENS</v>
      </c>
      <c r="I231" s="78">
        <f>'Avail List'!I240</f>
        <v>5</v>
      </c>
      <c r="J231" s="75" t="str">
        <f>'Avail List'!J240</f>
        <v>Landing Wednesday</v>
      </c>
      <c r="K231" s="76" t="s">
        <v>1113</v>
      </c>
    </row>
    <row r="232" spans="1:11" x14ac:dyDescent="0.25">
      <c r="A232" s="76" t="str">
        <f>'Avail List'!E241</f>
        <v>SPRSENE</v>
      </c>
      <c r="B232" s="75" t="s">
        <v>15</v>
      </c>
      <c r="C232" s="75" t="str">
        <f>'Avail List'!A241</f>
        <v>SPROUTS SALAD 50G</v>
      </c>
      <c r="D232" s="77" t="str">
        <f>'Avail List'!B241</f>
        <v>EA</v>
      </c>
      <c r="E232" s="77" t="str">
        <f>'Avail List'!C241</f>
        <v>1 PNT</v>
      </c>
      <c r="F232" s="75" t="str">
        <f>'Avail List'!D241</f>
        <v>ENERGETIC GREENS</v>
      </c>
      <c r="I232" s="78">
        <f>'Avail List'!I241</f>
        <v>5</v>
      </c>
      <c r="J232" s="75" t="str">
        <f>'Avail List'!J241</f>
        <v>Landing Wednesday</v>
      </c>
      <c r="K232" s="76" t="s">
        <v>1114</v>
      </c>
    </row>
    <row r="233" spans="1:11" x14ac:dyDescent="0.25">
      <c r="A233" s="76" t="str">
        <f>'Avail List'!E242</f>
        <v>SPRSN100ENE</v>
      </c>
      <c r="B233" s="75" t="s">
        <v>15</v>
      </c>
      <c r="C233" s="75" t="str">
        <f>'Avail List'!A242</f>
        <v>SPROUTS SNOW PEA 100G</v>
      </c>
      <c r="D233" s="77" t="str">
        <f>'Avail List'!B242</f>
        <v>EA</v>
      </c>
      <c r="E233" s="77" t="str">
        <f>'Avail List'!C242</f>
        <v>1 PNT</v>
      </c>
      <c r="F233" s="75" t="str">
        <f>'Avail List'!D242</f>
        <v>ENERGETIC GREENS</v>
      </c>
      <c r="I233" s="78">
        <f>'Avail List'!I242</f>
        <v>5</v>
      </c>
      <c r="J233" s="75" t="str">
        <f>'Avail List'!J242</f>
        <v>Landing Wednesday</v>
      </c>
      <c r="K233" s="76" t="s">
        <v>1115</v>
      </c>
    </row>
    <row r="234" spans="1:11" x14ac:dyDescent="0.25">
      <c r="A234" s="76" t="str">
        <f>'Avail List'!E243</f>
        <v>SPRSF100ENE</v>
      </c>
      <c r="B234" s="75" t="s">
        <v>15</v>
      </c>
      <c r="C234" s="75" t="str">
        <f>'Avail List'!A243</f>
        <v>SPROUTS SUNFLOWER 100G</v>
      </c>
      <c r="D234" s="77" t="str">
        <f>'Avail List'!B243</f>
        <v>EA</v>
      </c>
      <c r="E234" s="77" t="str">
        <f>'Avail List'!C243</f>
        <v>1 PNT</v>
      </c>
      <c r="F234" s="75" t="str">
        <f>'Avail List'!D243</f>
        <v>ENERGETIC GREENS</v>
      </c>
      <c r="I234" s="78">
        <f>'Avail List'!I243</f>
        <v>5</v>
      </c>
      <c r="J234" s="75" t="str">
        <f>'Avail List'!J243</f>
        <v>Landing Wednesday</v>
      </c>
      <c r="K234" s="76" t="s">
        <v>1116</v>
      </c>
    </row>
    <row r="235" spans="1:11" x14ac:dyDescent="0.25">
      <c r="A235" s="76" t="str">
        <f>'Avail List'!E244</f>
        <v>SPRWG100ENE</v>
      </c>
      <c r="B235" s="75" t="s">
        <v>15</v>
      </c>
      <c r="C235" s="75" t="str">
        <f>'Avail List'!A244</f>
        <v>SPROUTS WHEATGRASS 100G</v>
      </c>
      <c r="D235" s="77" t="str">
        <f>'Avail List'!B244</f>
        <v>EA</v>
      </c>
      <c r="E235" s="77" t="str">
        <f>'Avail List'!C244</f>
        <v>1 PNT</v>
      </c>
      <c r="F235" s="75" t="str">
        <f>'Avail List'!D244</f>
        <v>ENERGETIC GREENS</v>
      </c>
      <c r="I235" s="78">
        <f>'Avail List'!I244</f>
        <v>4.5</v>
      </c>
      <c r="J235" s="75" t="str">
        <f>'Avail List'!J244</f>
        <v>Landing Wednesday</v>
      </c>
      <c r="K235" s="76" t="s">
        <v>1117</v>
      </c>
    </row>
    <row r="236" spans="1:11" x14ac:dyDescent="0.25">
      <c r="A236" s="76" t="str">
        <f>'Avail List'!E245</f>
        <v>SPRBRWOO</v>
      </c>
      <c r="B236" s="75" t="s">
        <v>15</v>
      </c>
      <c r="C236" s="75" t="str">
        <f>'Avail List'!A245</f>
        <v>SPROUTS BROCCOLI 65G</v>
      </c>
      <c r="D236" s="77" t="str">
        <f>'Avail List'!B245</f>
        <v>EA</v>
      </c>
      <c r="E236" s="77" t="str">
        <f>'Avail List'!C245</f>
        <v>1 PNT</v>
      </c>
      <c r="F236" s="75" t="str">
        <f>'Avail List'!D245</f>
        <v>WOODFORD MICROGREENS</v>
      </c>
      <c r="I236" s="78">
        <f>'Avail List'!I245</f>
        <v>6</v>
      </c>
      <c r="J236" s="75" t="str">
        <f>'Avail List'!J245</f>
        <v>AVAILABLE NOW</v>
      </c>
      <c r="K236" s="76" t="s">
        <v>1118</v>
      </c>
    </row>
    <row r="237" spans="1:11" x14ac:dyDescent="0.25">
      <c r="A237" s="76" t="str">
        <f>'Avail List'!E246</f>
        <v>SPRDRWOO</v>
      </c>
      <c r="B237" s="75" t="s">
        <v>15</v>
      </c>
      <c r="C237" s="75" t="str">
        <f>'Avail List'!A246</f>
        <v>SPROUTS DAIKON RADISH 65G</v>
      </c>
      <c r="D237" s="77" t="str">
        <f>'Avail List'!B246</f>
        <v>EA</v>
      </c>
      <c r="E237" s="77" t="str">
        <f>'Avail List'!C246</f>
        <v>1 PNT</v>
      </c>
      <c r="F237" s="75" t="str">
        <f>'Avail List'!D246</f>
        <v>WOODFORD MICROGREENS</v>
      </c>
      <c r="I237" s="78">
        <f>'Avail List'!I246</f>
        <v>4</v>
      </c>
      <c r="J237" s="75" t="str">
        <f>'Avail List'!J246</f>
        <v>AVAILABLE NOW</v>
      </c>
      <c r="K237" s="76" t="s">
        <v>1119</v>
      </c>
    </row>
    <row r="238" spans="1:11" x14ac:dyDescent="0.25">
      <c r="A238" s="76" t="str">
        <f>'Avail List'!E247</f>
        <v>SPRGMWOO</v>
      </c>
      <c r="B238" s="75" t="s">
        <v>15</v>
      </c>
      <c r="C238" s="75" t="str">
        <f>'Avail List'!A247</f>
        <v>SPROUTS GREEN MUSTARD 65G</v>
      </c>
      <c r="D238" s="77" t="str">
        <f>'Avail List'!B247</f>
        <v>EA</v>
      </c>
      <c r="E238" s="77" t="str">
        <f>'Avail List'!C247</f>
        <v>1 PNT</v>
      </c>
      <c r="F238" s="75" t="str">
        <f>'Avail List'!D247</f>
        <v>WOODFORD MICROGREENS</v>
      </c>
      <c r="I238" s="78">
        <f>'Avail List'!I247</f>
        <v>6</v>
      </c>
      <c r="J238" s="75" t="str">
        <f>'Avail List'!J247</f>
        <v>AVAILABLE NOW</v>
      </c>
      <c r="K238" s="76" t="s">
        <v>1120</v>
      </c>
    </row>
    <row r="239" spans="1:11" x14ac:dyDescent="0.25">
      <c r="A239" s="76" t="str">
        <f>'Avail List'!E248</f>
        <v>SPRPSWOO</v>
      </c>
      <c r="B239" s="75" t="s">
        <v>15</v>
      </c>
      <c r="C239" s="75" t="str">
        <f>'Avail List'!A248</f>
        <v>SPROUTS PEA SHOOTS (TENDRILS) 65G</v>
      </c>
      <c r="D239" s="77" t="str">
        <f>'Avail List'!B248</f>
        <v>EA</v>
      </c>
      <c r="E239" s="77" t="str">
        <f>'Avail List'!C248</f>
        <v>1 PNT</v>
      </c>
      <c r="F239" s="75" t="str">
        <f>'Avail List'!D248</f>
        <v>WOODFORD MICROGREENS</v>
      </c>
      <c r="I239" s="78">
        <f>'Avail List'!I248</f>
        <v>3.5</v>
      </c>
      <c r="J239" s="75" t="str">
        <f>'Avail List'!J248</f>
        <v>AVAILABLE NOW</v>
      </c>
      <c r="K239" s="76" t="s">
        <v>1121</v>
      </c>
    </row>
    <row r="240" spans="1:11" x14ac:dyDescent="0.25">
      <c r="A240" s="76" t="str">
        <f>'Avail List'!E249</f>
        <v>SPRPS100WOO</v>
      </c>
      <c r="B240" s="75" t="s">
        <v>15</v>
      </c>
      <c r="C240" s="75" t="str">
        <f>'Avail List'!A249</f>
        <v>SPROUTS PEA SHOOTS (TENDRILS) 100G</v>
      </c>
      <c r="D240" s="77" t="str">
        <f>'Avail List'!B249</f>
        <v>EA</v>
      </c>
      <c r="E240" s="77" t="str">
        <f>'Avail List'!C249</f>
        <v>1 PNT</v>
      </c>
      <c r="F240" s="75" t="str">
        <f>'Avail List'!D249</f>
        <v>WOODFORD MICROGREENS</v>
      </c>
      <c r="I240" s="78">
        <f>'Avail List'!I249</f>
        <v>4.5</v>
      </c>
      <c r="J240" s="75" t="str">
        <f>'Avail List'!J249</f>
        <v>AVAILABLE NOW</v>
      </c>
      <c r="K240" s="76" t="s">
        <v>1122</v>
      </c>
    </row>
    <row r="241" spans="1:11" x14ac:dyDescent="0.25">
      <c r="A241" s="76" t="str">
        <f>'Avail List'!E250</f>
        <v>SPRPRWOO</v>
      </c>
      <c r="B241" s="75" t="s">
        <v>15</v>
      </c>
      <c r="C241" s="75" t="str">
        <f>'Avail List'!A250</f>
        <v>SPROUTS PURPLE RADISH 65G</v>
      </c>
      <c r="D241" s="77" t="str">
        <f>'Avail List'!B250</f>
        <v>EA</v>
      </c>
      <c r="E241" s="77" t="str">
        <f>'Avail List'!C250</f>
        <v>1 PNT</v>
      </c>
      <c r="F241" s="75" t="str">
        <f>'Avail List'!D250</f>
        <v>WOODFORD MICROGREENS</v>
      </c>
      <c r="I241" s="78">
        <f>'Avail List'!I250</f>
        <v>6.2</v>
      </c>
      <c r="J241" s="75" t="str">
        <f>'Avail List'!J250</f>
        <v>AVAILABLE NOW</v>
      </c>
      <c r="K241" s="76" t="s">
        <v>1123</v>
      </c>
    </row>
    <row r="242" spans="1:11" x14ac:dyDescent="0.25">
      <c r="A242" s="76" t="str">
        <f>'Avail List'!E251</f>
        <v>SPRRCWOO</v>
      </c>
      <c r="B242" s="75" t="s">
        <v>15</v>
      </c>
      <c r="C242" s="75" t="str">
        <f>'Avail List'!A251</f>
        <v>SPROUTS RED CABBAGE 65G</v>
      </c>
      <c r="D242" s="77" t="str">
        <f>'Avail List'!B251</f>
        <v>EA</v>
      </c>
      <c r="E242" s="77" t="str">
        <f>'Avail List'!C251</f>
        <v>1 PNT</v>
      </c>
      <c r="F242" s="75" t="str">
        <f>'Avail List'!D251</f>
        <v>WOODFORD MICROGREENS</v>
      </c>
      <c r="I242" s="78">
        <f>'Avail List'!I251</f>
        <v>6</v>
      </c>
      <c r="J242" s="75" t="str">
        <f>'Avail List'!J251</f>
        <v>AVAILABLE NOW</v>
      </c>
      <c r="K242" s="76" t="s">
        <v>1124</v>
      </c>
    </row>
    <row r="243" spans="1:11" x14ac:dyDescent="0.25">
      <c r="A243" s="76" t="str">
        <f>'Avail List'!E252</f>
        <v>SPRSMWOO</v>
      </c>
      <c r="B243" s="75" t="s">
        <v>15</v>
      </c>
      <c r="C243" s="75" t="str">
        <f>'Avail List'!A252</f>
        <v>SPROUTS SPICY MIX 65G</v>
      </c>
      <c r="D243" s="77" t="str">
        <f>'Avail List'!B252</f>
        <v>EA</v>
      </c>
      <c r="E243" s="77" t="str">
        <f>'Avail List'!C252</f>
        <v>1 PNT</v>
      </c>
      <c r="F243" s="75" t="str">
        <f>'Avail List'!D252</f>
        <v>WOODFORD MICROGREENS</v>
      </c>
      <c r="I243" s="78">
        <f>'Avail List'!I252</f>
        <v>6.2</v>
      </c>
      <c r="J243" s="75" t="str">
        <f>'Avail List'!J252</f>
        <v>AVAILABLE NOW</v>
      </c>
      <c r="K243" s="76" t="s">
        <v>1125</v>
      </c>
    </row>
    <row r="244" spans="1:11" x14ac:dyDescent="0.25">
      <c r="A244" s="76" t="str">
        <f>'Avail List'!E253</f>
        <v>SPRSFWOO</v>
      </c>
      <c r="B244" s="75" t="s">
        <v>15</v>
      </c>
      <c r="C244" s="75" t="str">
        <f>'Avail List'!A253</f>
        <v>SPROUTS SUNFLOWER SHOOTS 65G</v>
      </c>
      <c r="D244" s="77" t="str">
        <f>'Avail List'!B253</f>
        <v>EA</v>
      </c>
      <c r="E244" s="77" t="str">
        <f>'Avail List'!C253</f>
        <v>1 PNT</v>
      </c>
      <c r="F244" s="75" t="str">
        <f>'Avail List'!D253</f>
        <v>WOODFORD MICROGREENS</v>
      </c>
      <c r="I244" s="78">
        <f>'Avail List'!I253</f>
        <v>4</v>
      </c>
      <c r="J244" s="75" t="str">
        <f>'Avail List'!J253</f>
        <v>AVAILABLE NOW</v>
      </c>
      <c r="K244" s="76" t="s">
        <v>1126</v>
      </c>
    </row>
    <row r="245" spans="1:11" x14ac:dyDescent="0.25">
      <c r="A245" s="76" t="str">
        <f>'Avail List'!E254</f>
        <v>SPRSF100WOO</v>
      </c>
      <c r="B245" s="75" t="s">
        <v>15</v>
      </c>
      <c r="C245" s="75" t="str">
        <f>'Avail List'!A254</f>
        <v>SPROUTS SUNFLOWER SHOOTS 100G</v>
      </c>
      <c r="D245" s="77" t="str">
        <f>'Avail List'!B254</f>
        <v>EA</v>
      </c>
      <c r="E245" s="77" t="str">
        <f>'Avail List'!C254</f>
        <v>1 PNT</v>
      </c>
      <c r="F245" s="75" t="str">
        <f>'Avail List'!D254</f>
        <v>WOODFORD MICROGREENS</v>
      </c>
      <c r="I245" s="78">
        <f>'Avail List'!I254</f>
        <v>5</v>
      </c>
      <c r="J245" s="75" t="str">
        <f>'Avail List'!J254</f>
        <v>AVAILABLE NOW</v>
      </c>
      <c r="K245" s="76" t="s">
        <v>1127</v>
      </c>
    </row>
    <row r="246" spans="1:11" x14ac:dyDescent="0.25">
      <c r="A246" s="76" t="str">
        <f>'Avail List'!E255</f>
        <v>COMPOST-A-PAK BAGS (**PRICES ARE GST EXCLUSIVE)</v>
      </c>
      <c r="B246" s="75" t="s">
        <v>15</v>
      </c>
      <c r="C246" s="75">
        <f>'Avail List'!A255</f>
        <v>0</v>
      </c>
      <c r="D246" s="77">
        <f>'Avail List'!B255</f>
        <v>0</v>
      </c>
      <c r="E246" s="77">
        <f>'Avail List'!C255</f>
        <v>0</v>
      </c>
      <c r="F246" s="75">
        <f>'Avail List'!D255</f>
        <v>0</v>
      </c>
      <c r="I246" s="78">
        <f>'Avail List'!I255</f>
        <v>0</v>
      </c>
      <c r="J246" s="75">
        <f>'Avail List'!J255</f>
        <v>0</v>
      </c>
      <c r="K246" s="76" t="s">
        <v>1128</v>
      </c>
    </row>
    <row r="247" spans="1:11" x14ac:dyDescent="0.25">
      <c r="A247" s="76" t="str">
        <f>'Avail List'!E256</f>
        <v>CODE</v>
      </c>
      <c r="B247" s="75" t="s">
        <v>15</v>
      </c>
      <c r="C247" s="75" t="str">
        <f>'Avail List'!A256</f>
        <v>PRODUCT</v>
      </c>
      <c r="D247" s="77" t="str">
        <f>'Avail List'!B256</f>
        <v>SIZE</v>
      </c>
      <c r="E247" s="77">
        <f>'Avail List'!C256</f>
        <v>0</v>
      </c>
      <c r="F247" s="75" t="str">
        <f>'Avail List'!D256</f>
        <v>GROWER</v>
      </c>
      <c r="I247" s="78" t="str">
        <f>'Avail List'!I256</f>
        <v>PRICE</v>
      </c>
      <c r="J247" s="75" t="str">
        <f>'Avail List'!J256</f>
        <v>COMMENTS / SPECIFIC REQUESTS</v>
      </c>
      <c r="K247" s="76" t="s">
        <v>1129</v>
      </c>
    </row>
    <row r="248" spans="1:11" x14ac:dyDescent="0.25">
      <c r="A248" s="76" t="str">
        <f>'Avail List'!E257</f>
        <v>09000314</v>
      </c>
      <c r="B248" s="75" t="s">
        <v>15</v>
      </c>
      <c r="C248" s="75" t="str">
        <f>'Avail List'!A257</f>
        <v xml:space="preserve">BAGS FRUIT &amp; VEG ROLL** </v>
      </c>
      <c r="D248" s="77" t="str">
        <f>'Avail List'!B257</f>
        <v>BX</v>
      </c>
      <c r="E248" s="77" t="str">
        <f>'Avail List'!C257</f>
        <v>6X 400BG</v>
      </c>
      <c r="F248" s="75" t="str">
        <f>'Avail List'!D257</f>
        <v>COMPOST-A-PAK</v>
      </c>
      <c r="I248" s="78">
        <f>'Avail List'!I257</f>
        <v>169</v>
      </c>
      <c r="J248" s="75">
        <f>'Avail List'!J257</f>
        <v>0</v>
      </c>
      <c r="K248" s="76" t="s">
        <v>1130</v>
      </c>
    </row>
    <row r="249" spans="1:11" x14ac:dyDescent="0.25">
      <c r="A249" s="76" t="str">
        <f>'Avail List'!E258</f>
        <v>DATES &amp; EGGS</v>
      </c>
      <c r="B249" s="75" t="s">
        <v>15</v>
      </c>
      <c r="C249" s="75">
        <f>'Avail List'!A258</f>
        <v>0</v>
      </c>
      <c r="D249" s="77">
        <f>'Avail List'!B258</f>
        <v>0</v>
      </c>
      <c r="E249" s="77">
        <f>'Avail List'!C258</f>
        <v>0</v>
      </c>
      <c r="F249" s="75">
        <f>'Avail List'!D258</f>
        <v>0</v>
      </c>
      <c r="I249" s="78">
        <f>'Avail List'!I258</f>
        <v>0</v>
      </c>
      <c r="J249" s="75">
        <f>'Avail List'!J258</f>
        <v>0</v>
      </c>
      <c r="K249" s="76" t="s">
        <v>1131</v>
      </c>
    </row>
    <row r="250" spans="1:11" x14ac:dyDescent="0.25">
      <c r="A250" s="76" t="str">
        <f>'Avail List'!E259</f>
        <v>CODE</v>
      </c>
      <c r="B250" s="75" t="s">
        <v>15</v>
      </c>
      <c r="C250" s="75" t="str">
        <f>'Avail List'!A259</f>
        <v>PRODUCT</v>
      </c>
      <c r="D250" s="77" t="str">
        <f>'Avail List'!B259</f>
        <v>SIZE</v>
      </c>
      <c r="E250" s="77">
        <f>'Avail List'!C259</f>
        <v>0</v>
      </c>
      <c r="F250" s="75" t="str">
        <f>'Avail List'!D259</f>
        <v>GROWER</v>
      </c>
      <c r="I250" s="78" t="str">
        <f>'Avail List'!I259</f>
        <v>PRICE</v>
      </c>
      <c r="J250" s="75" t="str">
        <f>'Avail List'!J259</f>
        <v>COMMENTS / SPECIFIC REQUESTS</v>
      </c>
      <c r="K250" s="76" t="s">
        <v>1132</v>
      </c>
    </row>
    <row r="251" spans="1:11" x14ac:dyDescent="0.25">
      <c r="A251" s="76" t="str">
        <f>'Avail List'!E260</f>
        <v>07226600</v>
      </c>
      <c r="B251" s="75" t="s">
        <v>15</v>
      </c>
      <c r="C251" s="75" t="str">
        <f>'Avail List'!A260</f>
        <v xml:space="preserve">MEDJOOL DATES 5KG </v>
      </c>
      <c r="D251" s="77" t="str">
        <f>'Avail List'!B260</f>
        <v>BX</v>
      </c>
      <c r="E251" s="77" t="str">
        <f>'Avail List'!C260</f>
        <v xml:space="preserve">5KG  </v>
      </c>
      <c r="F251" s="75" t="str">
        <f>'Avail List'!D260</f>
        <v xml:space="preserve">RIFT VALLEY </v>
      </c>
      <c r="I251" s="78">
        <f>'Avail List'!I260</f>
        <v>100</v>
      </c>
      <c r="J251" s="75">
        <f>'Avail List'!J260</f>
        <v>0</v>
      </c>
      <c r="K251" s="76" t="s">
        <v>1133</v>
      </c>
    </row>
    <row r="252" spans="1:11" x14ac:dyDescent="0.25">
      <c r="A252" s="76" t="str">
        <f>'Avail List'!E261</f>
        <v>07226534</v>
      </c>
      <c r="B252" s="75" t="s">
        <v>15</v>
      </c>
      <c r="C252" s="75" t="str">
        <f>'Avail List'!A261</f>
        <v>MEDJOOL DATES 8X1KG</v>
      </c>
      <c r="D252" s="77" t="str">
        <f>'Avail List'!B261</f>
        <v>BX</v>
      </c>
      <c r="E252" s="77" t="str">
        <f>'Avail List'!C261</f>
        <v>8X1KG</v>
      </c>
      <c r="F252" s="75" t="str">
        <f>'Avail List'!D261</f>
        <v>KING SOLOMON</v>
      </c>
      <c r="I252" s="78">
        <f>'Avail List'!I261</f>
        <v>199.6</v>
      </c>
      <c r="J252" s="75">
        <f>'Avail List'!J261</f>
        <v>0</v>
      </c>
      <c r="K252" s="76" t="s">
        <v>1134</v>
      </c>
    </row>
    <row r="253" spans="1:11" x14ac:dyDescent="0.25">
      <c r="A253" s="76" t="str">
        <f>'Avail List'!E262</f>
        <v>07226525</v>
      </c>
      <c r="B253" s="75" t="s">
        <v>15</v>
      </c>
      <c r="C253" s="75" t="str">
        <f>'Avail List'!A262</f>
        <v xml:space="preserve">MEDJOOL DATES 5KG </v>
      </c>
      <c r="D253" s="77" t="str">
        <f>'Avail List'!B262</f>
        <v>BX</v>
      </c>
      <c r="E253" s="77" t="str">
        <f>'Avail List'!C262</f>
        <v xml:space="preserve">5KG  </v>
      </c>
      <c r="F253" s="75" t="str">
        <f>'Avail List'!D262</f>
        <v>KING SOLOMON</v>
      </c>
      <c r="I253" s="78">
        <f>'Avail List'!I262</f>
        <v>88</v>
      </c>
      <c r="J253" s="75">
        <f>'Avail List'!J262</f>
        <v>0</v>
      </c>
      <c r="K253" s="76" t="s">
        <v>1135</v>
      </c>
    </row>
    <row r="254" spans="1:11" x14ac:dyDescent="0.25">
      <c r="A254" s="76">
        <f>'Avail List'!E263</f>
        <v>10260</v>
      </c>
      <c r="B254" s="75" t="s">
        <v>15</v>
      </c>
      <c r="C254" s="75" t="str">
        <f>'Avail List'!A263</f>
        <v>DATES MEDJOOL 12X150G</v>
      </c>
      <c r="D254" s="77" t="str">
        <f>'Avail List'!B263</f>
        <v>BX12</v>
      </c>
      <c r="E254" s="77" t="str">
        <f>'Avail List'!C263</f>
        <v>150G</v>
      </c>
      <c r="F254" s="75" t="str">
        <f>'Avail List'!D263</f>
        <v>ECO-FARMS ORGANIC</v>
      </c>
      <c r="I254" s="78">
        <f>'Avail List'!I263</f>
        <v>60</v>
      </c>
      <c r="J254" s="75">
        <f>'Avail List'!J263</f>
        <v>0</v>
      </c>
      <c r="K254" s="76" t="s">
        <v>1136</v>
      </c>
    </row>
    <row r="255" spans="1:11" x14ac:dyDescent="0.25">
      <c r="A255" s="76" t="str">
        <f>'Avail List'!E264</f>
        <v>EGE600</v>
      </c>
      <c r="B255" s="75" t="s">
        <v>15</v>
      </c>
      <c r="C255" s="75" t="str">
        <f>'Avail List'!A264</f>
        <v>ORG EGGS 600G</v>
      </c>
      <c r="D255" s="77" t="str">
        <f>'Avail List'!B264</f>
        <v>BX</v>
      </c>
      <c r="E255" s="77" t="str">
        <f>'Avail List'!C264</f>
        <v>15DOZ</v>
      </c>
      <c r="F255" s="75" t="str">
        <f>'Avail List'!D264</f>
        <v>MEGGLES FARMS</v>
      </c>
      <c r="I255" s="78">
        <f>'Avail List'!I264</f>
        <v>166</v>
      </c>
      <c r="J255" s="75">
        <f>'Avail List'!J264</f>
        <v>0</v>
      </c>
      <c r="K255" s="76" t="s">
        <v>1137</v>
      </c>
    </row>
    <row r="256" spans="1:11" x14ac:dyDescent="0.25">
      <c r="A256" s="76" t="str">
        <f>'Avail List'!E265</f>
        <v>GROCERY LINES</v>
      </c>
      <c r="B256" s="75" t="s">
        <v>15</v>
      </c>
      <c r="C256" s="75">
        <f>'Avail List'!A265</f>
        <v>0</v>
      </c>
      <c r="D256" s="77">
        <f>'Avail List'!B265</f>
        <v>0</v>
      </c>
      <c r="E256" s="77">
        <f>'Avail List'!C265</f>
        <v>0</v>
      </c>
      <c r="F256" s="75">
        <f>'Avail List'!D265</f>
        <v>0</v>
      </c>
      <c r="I256" s="78">
        <f>'Avail List'!I265</f>
        <v>0</v>
      </c>
      <c r="J256" s="75">
        <f>'Avail List'!J265</f>
        <v>0</v>
      </c>
      <c r="K256" s="76" t="s">
        <v>1138</v>
      </c>
    </row>
    <row r="257" spans="1:11" x14ac:dyDescent="0.25">
      <c r="A257" s="76" t="str">
        <f>'Avail List'!E266</f>
        <v>CODE</v>
      </c>
      <c r="B257" s="75" t="s">
        <v>15</v>
      </c>
      <c r="C257" s="75" t="str">
        <f>'Avail List'!A266</f>
        <v>PRODUCT</v>
      </c>
      <c r="D257" s="77" t="str">
        <f>'Avail List'!B266</f>
        <v>SIZE</v>
      </c>
      <c r="E257" s="77">
        <f>'Avail List'!C266</f>
        <v>0</v>
      </c>
      <c r="F257" s="75" t="str">
        <f>'Avail List'!D266</f>
        <v>GROWER</v>
      </c>
      <c r="I257" s="78" t="str">
        <f>'Avail List'!I266</f>
        <v>PRICE</v>
      </c>
      <c r="J257" s="75" t="str">
        <f>'Avail List'!J266</f>
        <v>COMMENTS / SPECIFIC REQUESTS</v>
      </c>
      <c r="K257" s="76" t="s">
        <v>1139</v>
      </c>
    </row>
    <row r="258" spans="1:11" x14ac:dyDescent="0.25">
      <c r="A258" s="76">
        <f>'Avail List'!E267</f>
        <v>0</v>
      </c>
      <c r="B258" s="75" t="s">
        <v>15</v>
      </c>
      <c r="C258" s="75" t="str">
        <f>'Avail List'!A267</f>
        <v>CHILLED PRODUCTS</v>
      </c>
      <c r="D258" s="77">
        <f>'Avail List'!B267</f>
        <v>0</v>
      </c>
      <c r="E258" s="77" t="str">
        <f>'Avail List'!C267</f>
        <v/>
      </c>
      <c r="F258" s="75" t="str">
        <f>'Avail List'!D267</f>
        <v/>
      </c>
      <c r="I258" s="78">
        <f>'Avail List'!I267</f>
        <v>0</v>
      </c>
      <c r="J258" s="75">
        <f>'Avail List'!J267</f>
        <v>0</v>
      </c>
      <c r="K258" s="76" t="s">
        <v>1140</v>
      </c>
    </row>
    <row r="259" spans="1:11" x14ac:dyDescent="0.25">
      <c r="A259" s="76" t="str">
        <f>'Avail List'!E268</f>
        <v>01512535</v>
      </c>
      <c r="B259" s="75" t="s">
        <v>15</v>
      </c>
      <c r="C259" s="75" t="str">
        <f>'Avail List'!A268</f>
        <v>TEMPEH BURGER 200G</v>
      </c>
      <c r="D259" s="77" t="str">
        <f>'Avail List'!B268</f>
        <v>EA</v>
      </c>
      <c r="E259" s="77" t="str">
        <f>'Avail List'!C268</f>
        <v>200G</v>
      </c>
      <c r="F259" s="75" t="str">
        <f>'Avail List'!D268</f>
        <v>NUTRISOY</v>
      </c>
      <c r="I259" s="78">
        <f>'Avail List'!I268</f>
        <v>4.2</v>
      </c>
      <c r="J259" s="75">
        <f>'Avail List'!J268</f>
        <v>0</v>
      </c>
      <c r="K259" s="76" t="s">
        <v>1141</v>
      </c>
    </row>
    <row r="260" spans="1:11" x14ac:dyDescent="0.25">
      <c r="A260" s="76" t="str">
        <f>'Avail List'!E269</f>
        <v>01512505</v>
      </c>
      <c r="B260" s="75" t="s">
        <v>15</v>
      </c>
      <c r="C260" s="75" t="str">
        <f>'Avail List'!A269</f>
        <v>TOFU SPICY CUTLETS 200G</v>
      </c>
      <c r="D260" s="77" t="str">
        <f>'Avail List'!B269</f>
        <v>BX12</v>
      </c>
      <c r="E260" s="77" t="str">
        <f>'Avail List'!C269</f>
        <v>200G</v>
      </c>
      <c r="F260" s="75" t="str">
        <f>'Avail List'!D269</f>
        <v>NUTRISOY</v>
      </c>
      <c r="I260" s="78">
        <f>'Avail List'!I269</f>
        <v>46.25</v>
      </c>
      <c r="J260" s="75">
        <f>'Avail List'!J269</f>
        <v>0</v>
      </c>
      <c r="K260" s="76" t="s">
        <v>1142</v>
      </c>
    </row>
    <row r="261" spans="1:11" x14ac:dyDescent="0.25">
      <c r="A261" s="76" t="str">
        <f>'Avail List'!E270</f>
        <v>01512510</v>
      </c>
      <c r="B261" s="75" t="s">
        <v>15</v>
      </c>
      <c r="C261" s="75" t="str">
        <f>'Avail List'!A270</f>
        <v>TOFU TERIYAKI CUTLETS 200G</v>
      </c>
      <c r="D261" s="77" t="str">
        <f>'Avail List'!B270</f>
        <v>BX12</v>
      </c>
      <c r="E261" s="77" t="str">
        <f>'Avail List'!C270</f>
        <v>200G</v>
      </c>
      <c r="F261" s="75" t="str">
        <f>'Avail List'!D270</f>
        <v>NUTRISOY</v>
      </c>
      <c r="I261" s="78">
        <f>'Avail List'!I270</f>
        <v>46.25</v>
      </c>
      <c r="J261" s="75">
        <f>'Avail List'!J270</f>
        <v>0</v>
      </c>
      <c r="K261" s="76" t="s">
        <v>1143</v>
      </c>
    </row>
    <row r="262" spans="1:11" x14ac:dyDescent="0.25">
      <c r="A262" s="76" t="str">
        <f>'Avail List'!E271</f>
        <v>01912510</v>
      </c>
      <c r="B262" s="75" t="s">
        <v>15</v>
      </c>
      <c r="C262" s="75" t="str">
        <f>'Avail List'!A271</f>
        <v>TOFU PLAIN 350G</v>
      </c>
      <c r="D262" s="77" t="str">
        <f>'Avail List'!B271</f>
        <v>BX12</v>
      </c>
      <c r="E262" s="77" t="str">
        <f>'Avail List'!C271</f>
        <v>350G</v>
      </c>
      <c r="F262" s="75" t="str">
        <f>'Avail List'!D271</f>
        <v>NUTRISOY</v>
      </c>
      <c r="I262" s="78">
        <f>'Avail List'!I271</f>
        <v>43.55</v>
      </c>
      <c r="J262" s="75">
        <f>'Avail List'!J271</f>
        <v>0</v>
      </c>
      <c r="K262" s="76" t="s">
        <v>1144</v>
      </c>
    </row>
    <row r="263" spans="1:11" x14ac:dyDescent="0.25">
      <c r="A263" s="76" t="str">
        <f>'Avail List'!E272</f>
        <v>01512519</v>
      </c>
      <c r="B263" s="75" t="s">
        <v>15</v>
      </c>
      <c r="C263" s="75" t="str">
        <f>'Avail List'!A272</f>
        <v>TEMPEH PLAIN 300G</v>
      </c>
      <c r="D263" s="77" t="str">
        <f>'Avail List'!B272</f>
        <v>BX12</v>
      </c>
      <c r="E263" s="77" t="str">
        <f>'Avail List'!C272</f>
        <v>300G</v>
      </c>
      <c r="F263" s="75" t="str">
        <f>'Avail List'!D272</f>
        <v>NUTRISOY</v>
      </c>
      <c r="I263" s="78">
        <f>'Avail List'!I272</f>
        <v>50.4</v>
      </c>
      <c r="J263" s="75">
        <f>'Avail List'!J272</f>
        <v>0</v>
      </c>
      <c r="K263" s="76" t="s">
        <v>1145</v>
      </c>
    </row>
    <row r="264" spans="1:11" x14ac:dyDescent="0.25">
      <c r="A264" s="76">
        <f>'Avail List'!E273</f>
        <v>0</v>
      </c>
      <c r="B264" s="75" t="s">
        <v>15</v>
      </c>
      <c r="C264" s="75" t="str">
        <f>'Avail List'!A273</f>
        <v>SUGAR, SYRUP &amp; HONEY</v>
      </c>
      <c r="D264" s="77">
        <f>'Avail List'!B273</f>
        <v>0</v>
      </c>
      <c r="E264" s="77">
        <f>'Avail List'!C273</f>
        <v>0</v>
      </c>
      <c r="F264" s="75">
        <f>'Avail List'!D273</f>
        <v>0</v>
      </c>
      <c r="I264" s="78">
        <f>'Avail List'!I273</f>
        <v>0</v>
      </c>
      <c r="J264" s="75">
        <f>'Avail List'!J273</f>
        <v>0</v>
      </c>
      <c r="K264" s="76" t="s">
        <v>1146</v>
      </c>
    </row>
    <row r="265" spans="1:11" x14ac:dyDescent="0.25">
      <c r="A265" s="76" t="str">
        <f>'Avail List'!E274</f>
        <v>01200505</v>
      </c>
      <c r="B265" s="75" t="s">
        <v>15</v>
      </c>
      <c r="C265" s="75" t="str">
        <f>'Avail List'!A274</f>
        <v>SYRUP MAPLE 1L</v>
      </c>
      <c r="D265" s="77" t="str">
        <f>'Avail List'!B274</f>
        <v>BX6</v>
      </c>
      <c r="E265" s="77" t="str">
        <f>'Avail List'!C274</f>
        <v>1L</v>
      </c>
      <c r="F265" s="75" t="str">
        <f>'Avail List'!D274</f>
        <v>CHEFS CHOICE</v>
      </c>
      <c r="I265" s="78">
        <f>'Avail List'!I274</f>
        <v>210</v>
      </c>
      <c r="J265" s="75">
        <f>'Avail List'!J274</f>
        <v>0</v>
      </c>
      <c r="K265" s="76" t="s">
        <v>1147</v>
      </c>
    </row>
    <row r="266" spans="1:11" x14ac:dyDescent="0.25">
      <c r="A266" s="76" t="str">
        <f>'Avail List'!E275</f>
        <v>01200530</v>
      </c>
      <c r="B266" s="75" t="s">
        <v>15</v>
      </c>
      <c r="C266" s="75" t="str">
        <f>'Avail List'!A275</f>
        <v>SYRUP MAPLE 189ML</v>
      </c>
      <c r="D266" s="77" t="str">
        <f>'Avail List'!B275</f>
        <v>BX12</v>
      </c>
      <c r="E266" s="77" t="str">
        <f>'Avail List'!C275</f>
        <v>189ML</v>
      </c>
      <c r="F266" s="75" t="str">
        <f>'Avail List'!D275</f>
        <v>CHEFS CHOICE</v>
      </c>
      <c r="I266" s="78">
        <f>'Avail List'!I275</f>
        <v>89.4</v>
      </c>
      <c r="J266" s="75">
        <f>'Avail List'!J275</f>
        <v>0</v>
      </c>
      <c r="K266" s="76" t="s">
        <v>1148</v>
      </c>
    </row>
    <row r="267" spans="1:11" x14ac:dyDescent="0.25">
      <c r="A267" s="76">
        <f>'Avail List'!E276</f>
        <v>1200609</v>
      </c>
      <c r="B267" s="75" t="s">
        <v>15</v>
      </c>
      <c r="C267" s="75" t="str">
        <f>'Avail List'!A276</f>
        <v>RAW HONEY 1KG</v>
      </c>
      <c r="D267" s="77" t="str">
        <f>'Avail List'!B276</f>
        <v xml:space="preserve">BX </v>
      </c>
      <c r="E267" s="77" t="str">
        <f>'Avail List'!C276</f>
        <v>6 X 1KG</v>
      </c>
      <c r="F267" s="75" t="str">
        <f>'Avail List'!D276</f>
        <v>WILD NECTAR</v>
      </c>
      <c r="I267" s="78">
        <f>'Avail List'!I276</f>
        <v>120</v>
      </c>
      <c r="J267" s="75">
        <f>'Avail List'!J276</f>
        <v>0</v>
      </c>
      <c r="K267" s="76" t="s">
        <v>1149</v>
      </c>
    </row>
    <row r="268" spans="1:11" x14ac:dyDescent="0.25">
      <c r="A268" s="76" t="str">
        <f>'Avail List'!E277</f>
        <v>01200613</v>
      </c>
      <c r="B268" s="75" t="s">
        <v>15</v>
      </c>
      <c r="C268" s="75" t="str">
        <f>'Avail List'!A277</f>
        <v>RICE MALT SYRUP 500ML</v>
      </c>
      <c r="D268" s="77" t="str">
        <f>'Avail List'!B277</f>
        <v>BX6</v>
      </c>
      <c r="E268" s="77" t="str">
        <f>'Avail List'!C277</f>
        <v>500ML</v>
      </c>
      <c r="F268" s="75" t="str">
        <f>'Avail List'!D277</f>
        <v>BLISSFUL ORGANIC</v>
      </c>
      <c r="I268" s="78">
        <f>'Avail List'!I277</f>
        <v>27.3</v>
      </c>
      <c r="J268" s="75">
        <f>'Avail List'!J277</f>
        <v>0</v>
      </c>
      <c r="K268" s="76" t="s">
        <v>1150</v>
      </c>
    </row>
    <row r="269" spans="1:11" x14ac:dyDescent="0.25">
      <c r="A269" s="76" t="str">
        <f>'Avail List'!E278</f>
        <v>01200645</v>
      </c>
      <c r="B269" s="75" t="s">
        <v>15</v>
      </c>
      <c r="C269" s="75" t="str">
        <f>'Avail List'!A278</f>
        <v>COCONUT NECTAR 500ML</v>
      </c>
      <c r="D269" s="77" t="str">
        <f>'Avail List'!B278</f>
        <v>BX6</v>
      </c>
      <c r="E269" s="77" t="str">
        <f>'Avail List'!C278</f>
        <v>500ML</v>
      </c>
      <c r="F269" s="75" t="str">
        <f>'Avail List'!D278</f>
        <v>BLISSFUL ORGANIC</v>
      </c>
      <c r="I269" s="78">
        <f>'Avail List'!I278</f>
        <v>54.2</v>
      </c>
      <c r="J269" s="75">
        <f>'Avail List'!J278</f>
        <v>0</v>
      </c>
      <c r="K269" s="76" t="s">
        <v>1151</v>
      </c>
    </row>
    <row r="270" spans="1:11" x14ac:dyDescent="0.25">
      <c r="A270" s="76" t="str">
        <f>'Avail List'!E279</f>
        <v>01200620</v>
      </c>
      <c r="B270" s="75" t="s">
        <v>15</v>
      </c>
      <c r="C270" s="75" t="str">
        <f>'Avail List'!A279</f>
        <v>COCONUT SUGAR 300G</v>
      </c>
      <c r="D270" s="77" t="str">
        <f>'Avail List'!B279</f>
        <v>BX10</v>
      </c>
      <c r="E270" s="77" t="str">
        <f>'Avail List'!C279</f>
        <v>300G</v>
      </c>
      <c r="F270" s="75" t="str">
        <f>'Avail List'!D279</f>
        <v>BLISSFUL ORGANIC</v>
      </c>
      <c r="I270" s="78">
        <f>'Avail List'!I279</f>
        <v>58</v>
      </c>
      <c r="J270" s="75">
        <f>'Avail List'!J279</f>
        <v>0</v>
      </c>
      <c r="K270" s="76" t="s">
        <v>1152</v>
      </c>
    </row>
    <row r="271" spans="1:11" x14ac:dyDescent="0.25">
      <c r="A271" s="76">
        <f>'Avail List'!E280</f>
        <v>0</v>
      </c>
      <c r="B271" s="75" t="s">
        <v>15</v>
      </c>
      <c r="C271" s="75" t="str">
        <f>'Avail List'!A280</f>
        <v>SNACKS &amp; CONFECTIONARY (**PRICES EXCLUDE GST)</v>
      </c>
      <c r="D271" s="77">
        <f>'Avail List'!B280</f>
        <v>0</v>
      </c>
      <c r="E271" s="77">
        <f>'Avail List'!C280</f>
        <v>0</v>
      </c>
      <c r="F271" s="75">
        <f>'Avail List'!D280</f>
        <v>0</v>
      </c>
      <c r="I271" s="78">
        <f>'Avail List'!I280</f>
        <v>0</v>
      </c>
      <c r="J271" s="75">
        <f>'Avail List'!J280</f>
        <v>0</v>
      </c>
      <c r="K271" s="76" t="s">
        <v>1153</v>
      </c>
    </row>
    <row r="272" spans="1:11" x14ac:dyDescent="0.25">
      <c r="A272" s="76">
        <f>'Avail List'!E281</f>
        <v>5500200</v>
      </c>
      <c r="B272" s="75" t="s">
        <v>15</v>
      </c>
      <c r="C272" s="75" t="str">
        <f>'Avail List'!A281</f>
        <v>POTATO CHIPS PURPLE 90G** (Not Organic)</v>
      </c>
      <c r="D272" s="77" t="str">
        <f>'Avail List'!B281</f>
        <v xml:space="preserve">BX </v>
      </c>
      <c r="E272" s="77" t="str">
        <f>'Avail List'!C281</f>
        <v>12X90G</v>
      </c>
      <c r="F272" s="75" t="str">
        <f>'Avail List'!D281</f>
        <v>DK'S</v>
      </c>
      <c r="I272" s="78">
        <f>'Avail List'!I281</f>
        <v>37.5</v>
      </c>
      <c r="J272" s="75" t="str">
        <f>'Avail List'!J281</f>
        <v>MULTIBUY AVAILABLE</v>
      </c>
      <c r="K272" s="76" t="s">
        <v>1154</v>
      </c>
    </row>
    <row r="273" spans="1:11" x14ac:dyDescent="0.25">
      <c r="A273" s="76">
        <f>'Avail List'!E282</f>
        <v>5500210</v>
      </c>
      <c r="B273" s="75" t="s">
        <v>15</v>
      </c>
      <c r="C273" s="75" t="str">
        <f>'Avail List'!A282</f>
        <v>POTATO CHIPS CLASSIC 90G** (Not Organic)</v>
      </c>
      <c r="D273" s="77" t="str">
        <f>'Avail List'!B282</f>
        <v xml:space="preserve">BX </v>
      </c>
      <c r="E273" s="77" t="str">
        <f>'Avail List'!C282</f>
        <v>12X90G</v>
      </c>
      <c r="F273" s="75" t="str">
        <f>'Avail List'!D282</f>
        <v>DK'S</v>
      </c>
      <c r="I273" s="78">
        <f>'Avail List'!I282</f>
        <v>37.5</v>
      </c>
      <c r="J273" s="75" t="str">
        <f>'Avail List'!J282</f>
        <v>MULTIBUY AVAILABLE</v>
      </c>
      <c r="K273" s="76" t="s">
        <v>1155</v>
      </c>
    </row>
    <row r="274" spans="1:11" x14ac:dyDescent="0.25">
      <c r="A274" s="76">
        <f>'Avail List'!E283</f>
        <v>5500220</v>
      </c>
      <c r="B274" s="75" t="s">
        <v>15</v>
      </c>
      <c r="C274" s="75" t="str">
        <f>'Avail List'!A283</f>
        <v>POTATO CHIPS PINK 90G** (Not Organic)</v>
      </c>
      <c r="D274" s="77" t="str">
        <f>'Avail List'!B283</f>
        <v xml:space="preserve">BX </v>
      </c>
      <c r="E274" s="77" t="str">
        <f>'Avail List'!C283</f>
        <v>12X90G</v>
      </c>
      <c r="F274" s="75" t="str">
        <f>'Avail List'!D283</f>
        <v>DK'S</v>
      </c>
      <c r="I274" s="78">
        <f>'Avail List'!I283</f>
        <v>37.5</v>
      </c>
      <c r="J274" s="75" t="str">
        <f>'Avail List'!J283</f>
        <v>MULTIBUY AVAILABLE</v>
      </c>
      <c r="K274" s="76" t="s">
        <v>1156</v>
      </c>
    </row>
    <row r="275" spans="1:11" x14ac:dyDescent="0.25">
      <c r="A275" s="76">
        <f>'Avail List'!E284</f>
        <v>5500221</v>
      </c>
      <c r="B275" s="75" t="s">
        <v>15</v>
      </c>
      <c r="C275" s="75" t="str">
        <f>'Avail List'!A284</f>
        <v>POTATO CHIPS PINK PEPPERBERRY 90G** (Not Organic)</v>
      </c>
      <c r="D275" s="77" t="str">
        <f>'Avail List'!B284</f>
        <v xml:space="preserve">BX </v>
      </c>
      <c r="E275" s="77" t="str">
        <f>'Avail List'!C284</f>
        <v>12X90G</v>
      </c>
      <c r="F275" s="75" t="str">
        <f>'Avail List'!D284</f>
        <v>DK'S</v>
      </c>
      <c r="I275" s="78">
        <f>'Avail List'!I284</f>
        <v>37.5</v>
      </c>
      <c r="J275" s="75" t="str">
        <f>'Avail List'!J284</f>
        <v>MULTIBUY AVAILABLE</v>
      </c>
      <c r="K275" s="76" t="s">
        <v>1157</v>
      </c>
    </row>
    <row r="276" spans="1:11" x14ac:dyDescent="0.25">
      <c r="A276" s="76" t="str">
        <f>'Avail List'!E285</f>
        <v>05500225</v>
      </c>
      <c r="B276" s="75" t="s">
        <v>15</v>
      </c>
      <c r="C276" s="75" t="str">
        <f>'Avail List'!A285</f>
        <v>POTATO CHIPS PINK 150G** (Not Organic)</v>
      </c>
      <c r="D276" s="77" t="str">
        <f>'Avail List'!B285</f>
        <v xml:space="preserve">BX </v>
      </c>
      <c r="E276" s="77" t="str">
        <f>'Avail List'!C285</f>
        <v>12X150G</v>
      </c>
      <c r="F276" s="75" t="str">
        <f>'Avail List'!D285</f>
        <v>DK'S</v>
      </c>
      <c r="I276" s="78">
        <f>'Avail List'!I285</f>
        <v>55.5</v>
      </c>
      <c r="J276" s="75" t="str">
        <f>'Avail List'!J285</f>
        <v>MULTIBUY AVAILABLE</v>
      </c>
      <c r="K276" s="76" t="s">
        <v>1158</v>
      </c>
    </row>
    <row r="277" spans="1:11" x14ac:dyDescent="0.25">
      <c r="A277" s="76" t="str">
        <f>'Avail List'!E286</f>
        <v>01200602</v>
      </c>
      <c r="B277" s="75" t="s">
        <v>15</v>
      </c>
      <c r="C277" s="75" t="str">
        <f>'Avail List'!A286</f>
        <v>CORN CHIPS 500G**</v>
      </c>
      <c r="D277" s="77" t="str">
        <f>'Avail List'!B286</f>
        <v>BX6</v>
      </c>
      <c r="E277" s="77" t="str">
        <f>'Avail List'!C286</f>
        <v>500G</v>
      </c>
      <c r="F277" s="75" t="str">
        <f>'Avail List'!D286</f>
        <v>SONORA</v>
      </c>
      <c r="I277" s="78">
        <f>'Avail List'!I286</f>
        <v>49.5</v>
      </c>
      <c r="J277" s="75">
        <f>'Avail List'!J286</f>
        <v>0</v>
      </c>
      <c r="K277" s="76" t="s">
        <v>1159</v>
      </c>
    </row>
    <row r="278" spans="1:11" x14ac:dyDescent="0.25">
      <c r="A278" s="76" t="str">
        <f>'Avail List'!E287</f>
        <v>01200544</v>
      </c>
      <c r="B278" s="75" t="s">
        <v>15</v>
      </c>
      <c r="C278" s="75" t="str">
        <f>'Avail List'!A287</f>
        <v>POPPING CORN</v>
      </c>
      <c r="D278" s="77" t="str">
        <f>'Avail List'!B287</f>
        <v>BX10</v>
      </c>
      <c r="E278" s="77" t="str">
        <f>'Avail List'!C287</f>
        <v>500G</v>
      </c>
      <c r="F278" s="75" t="str">
        <f>'Avail List'!D287</f>
        <v>CHEFS CHOICE</v>
      </c>
      <c r="I278" s="78">
        <f>'Avail List'!I287</f>
        <v>49</v>
      </c>
      <c r="J278" s="75">
        <f>'Avail List'!J287</f>
        <v>0</v>
      </c>
      <c r="K278" s="76" t="s">
        <v>1160</v>
      </c>
    </row>
    <row r="279" spans="1:11" x14ac:dyDescent="0.25">
      <c r="A279" s="76" t="str">
        <f>'Avail List'!E288</f>
        <v>01200106</v>
      </c>
      <c r="B279" s="75" t="s">
        <v>15</v>
      </c>
      <c r="C279" s="75" t="str">
        <f>'Avail List'!A288</f>
        <v>BROWN RICE CRACKER 100G**</v>
      </c>
      <c r="D279" s="77" t="str">
        <f>'Avail List'!B288</f>
        <v>BX12</v>
      </c>
      <c r="E279" s="77" t="str">
        <f>'Avail List'!C288</f>
        <v>100g</v>
      </c>
      <c r="F279" s="75" t="str">
        <f>'Avail List'!D288</f>
        <v>KURA ORGANIC</v>
      </c>
      <c r="I279" s="78">
        <f>'Avail List'!I288</f>
        <v>32.299999999999997</v>
      </c>
      <c r="J279" s="75">
        <f>'Avail List'!J288</f>
        <v>0</v>
      </c>
      <c r="K279" s="76" t="s">
        <v>1161</v>
      </c>
    </row>
    <row r="280" spans="1:11" x14ac:dyDescent="0.25">
      <c r="A280" s="76" t="str">
        <f>'Avail List'!E289</f>
        <v>01200107</v>
      </c>
      <c r="B280" s="75" t="s">
        <v>15</v>
      </c>
      <c r="C280" s="75" t="str">
        <f>'Avail List'!A289</f>
        <v>ORIGINAL RICE CRACKER 100G**</v>
      </c>
      <c r="D280" s="77" t="str">
        <f>'Avail List'!B289</f>
        <v>BX12</v>
      </c>
      <c r="E280" s="77" t="str">
        <f>'Avail List'!C289</f>
        <v>100g</v>
      </c>
      <c r="F280" s="75" t="str">
        <f>'Avail List'!D289</f>
        <v>KURA ORGANIC</v>
      </c>
      <c r="I280" s="78">
        <f>'Avail List'!I289</f>
        <v>32.299999999999997</v>
      </c>
      <c r="J280" s="75">
        <f>'Avail List'!J289</f>
        <v>0</v>
      </c>
      <c r="K280" s="76" t="s">
        <v>1162</v>
      </c>
    </row>
    <row r="281" spans="1:11" x14ac:dyDescent="0.25">
      <c r="A281" s="76" t="str">
        <f>'Avail List'!E290</f>
        <v>01200750</v>
      </c>
      <c r="B281" s="75" t="s">
        <v>15</v>
      </c>
      <c r="C281" s="75" t="str">
        <f>'Avail List'!A290</f>
        <v>DARK CHOCOLATE BUTTON BITES**</v>
      </c>
      <c r="D281" s="77" t="str">
        <f>'Avail List'!B290</f>
        <v>BX</v>
      </c>
      <c r="E281" s="77" t="str">
        <f>'Avail List'!C290</f>
        <v>10 X 300G</v>
      </c>
      <c r="F281" s="75" t="str">
        <f>'Avail List'!D290</f>
        <v>LOVIN' BODY</v>
      </c>
      <c r="I281" s="78">
        <f>'Avail List'!I290</f>
        <v>175</v>
      </c>
      <c r="J281" s="75">
        <f>'Avail List'!J290</f>
        <v>0</v>
      </c>
      <c r="K281" s="76" t="s">
        <v>1163</v>
      </c>
    </row>
    <row r="282" spans="1:11" x14ac:dyDescent="0.25">
      <c r="A282" s="76">
        <f>'Avail List'!E291</f>
        <v>0</v>
      </c>
      <c r="B282" s="75" t="s">
        <v>15</v>
      </c>
      <c r="C282" s="75" t="str">
        <f>'Avail List'!A291</f>
        <v>CACAO</v>
      </c>
      <c r="D282" s="77">
        <f>'Avail List'!B291</f>
        <v>0</v>
      </c>
      <c r="E282" s="77" t="str">
        <f>'Avail List'!C291</f>
        <v/>
      </c>
      <c r="F282" s="75" t="str">
        <f>'Avail List'!D291</f>
        <v/>
      </c>
      <c r="I282" s="78">
        <f>'Avail List'!I291</f>
        <v>0</v>
      </c>
      <c r="J282" s="75">
        <f>'Avail List'!J291</f>
        <v>0</v>
      </c>
      <c r="K282" s="76" t="s">
        <v>1164</v>
      </c>
    </row>
    <row r="283" spans="1:11" x14ac:dyDescent="0.25">
      <c r="A283" s="76" t="str">
        <f>'Avail List'!E292</f>
        <v>01200545</v>
      </c>
      <c r="B283" s="75" t="s">
        <v>15</v>
      </c>
      <c r="C283" s="75" t="str">
        <f>'Avail List'!A292</f>
        <v>RAW ORGANIC CACAO POWDER 300G</v>
      </c>
      <c r="D283" s="77" t="str">
        <f>'Avail List'!B292</f>
        <v>BX10</v>
      </c>
      <c r="E283" s="77" t="str">
        <f>'Avail List'!C292</f>
        <v>300G</v>
      </c>
      <c r="F283" s="75" t="str">
        <f>'Avail List'!D292</f>
        <v>CHEFS CHOICE</v>
      </c>
      <c r="I283" s="78">
        <f>'Avail List'!I292</f>
        <v>127</v>
      </c>
      <c r="J283" s="75">
        <f>'Avail List'!J292</f>
        <v>0</v>
      </c>
      <c r="K283" s="76" t="s">
        <v>1165</v>
      </c>
    </row>
    <row r="284" spans="1:11" x14ac:dyDescent="0.25">
      <c r="A284" s="76" t="str">
        <f>'Avail List'!E293</f>
        <v>01200751</v>
      </c>
      <c r="B284" s="75" t="s">
        <v>15</v>
      </c>
      <c r="C284" s="75" t="str">
        <f>'Avail List'!A293</f>
        <v xml:space="preserve">ORG DRINKING HOT CHOCOLATE </v>
      </c>
      <c r="D284" s="77" t="str">
        <f>'Avail List'!B293</f>
        <v>BX</v>
      </c>
      <c r="E284" s="77" t="str">
        <f>'Avail List'!C293</f>
        <v>6 X 300G</v>
      </c>
      <c r="F284" s="75" t="str">
        <f>'Avail List'!D293</f>
        <v>LOVIN' BODY</v>
      </c>
      <c r="I284" s="78">
        <f>'Avail List'!I293</f>
        <v>42</v>
      </c>
      <c r="J284" s="75">
        <f>'Avail List'!J293</f>
        <v>0</v>
      </c>
      <c r="K284" s="76" t="s">
        <v>1166</v>
      </c>
    </row>
    <row r="285" spans="1:11" x14ac:dyDescent="0.25">
      <c r="A285" s="76" t="str">
        <f>'Avail List'!E294</f>
        <v>01200752</v>
      </c>
      <c r="B285" s="75" t="s">
        <v>15</v>
      </c>
      <c r="C285" s="75" t="str">
        <f>'Avail List'!A294</f>
        <v xml:space="preserve">ORG HOT CHOCOLATE SUPERFOOD </v>
      </c>
      <c r="D285" s="77" t="str">
        <f>'Avail List'!B294</f>
        <v>BX6</v>
      </c>
      <c r="E285" s="77" t="str">
        <f>'Avail List'!C294</f>
        <v>300G</v>
      </c>
      <c r="F285" s="75" t="str">
        <f>'Avail List'!D294</f>
        <v>LOVIN' BODY</v>
      </c>
      <c r="I285" s="78">
        <f>'Avail List'!I294</f>
        <v>42</v>
      </c>
      <c r="J285" s="75">
        <f>'Avail List'!J294</f>
        <v>0</v>
      </c>
      <c r="K285" s="76" t="s">
        <v>1167</v>
      </c>
    </row>
    <row r="286" spans="1:11" x14ac:dyDescent="0.25">
      <c r="A286" s="76">
        <f>'Avail List'!E295</f>
        <v>0</v>
      </c>
      <c r="B286" s="75" t="s">
        <v>15</v>
      </c>
      <c r="C286" s="75" t="str">
        <f>'Avail List'!A295</f>
        <v>RICE, QUINOA &amp; PASTA</v>
      </c>
      <c r="D286" s="77">
        <f>'Avail List'!B295</f>
        <v>0</v>
      </c>
      <c r="E286" s="77" t="str">
        <f>'Avail List'!C295</f>
        <v/>
      </c>
      <c r="F286" s="75" t="str">
        <f>'Avail List'!D295</f>
        <v/>
      </c>
      <c r="I286" s="78">
        <f>'Avail List'!I295</f>
        <v>0</v>
      </c>
      <c r="J286" s="75">
        <f>'Avail List'!J295</f>
        <v>0</v>
      </c>
      <c r="K286" s="76" t="s">
        <v>1168</v>
      </c>
    </row>
    <row r="287" spans="1:11" x14ac:dyDescent="0.25">
      <c r="A287" s="76" t="str">
        <f>'Avail List'!E296</f>
        <v>01200507</v>
      </c>
      <c r="B287" s="75" t="s">
        <v>15</v>
      </c>
      <c r="C287" s="75" t="str">
        <f>'Avail List'!A296</f>
        <v>RICE JASMINE 1KG</v>
      </c>
      <c r="D287" s="77" t="str">
        <f>'Avail List'!B296</f>
        <v>BX10</v>
      </c>
      <c r="E287" s="77" t="str">
        <f>'Avail List'!C296</f>
        <v>1KG</v>
      </c>
      <c r="F287" s="75" t="str">
        <f>'Avail List'!D296</f>
        <v>CHEFS CHOICE</v>
      </c>
      <c r="I287" s="78">
        <f>'Avail List'!I296</f>
        <v>60.6</v>
      </c>
      <c r="J287" s="75">
        <f>'Avail List'!J296</f>
        <v>0</v>
      </c>
      <c r="K287" s="76" t="s">
        <v>1169</v>
      </c>
    </row>
    <row r="288" spans="1:11" x14ac:dyDescent="0.25">
      <c r="A288" s="76" t="str">
        <f>'Avail List'!E297</f>
        <v>01200509</v>
      </c>
      <c r="B288" s="75" t="s">
        <v>15</v>
      </c>
      <c r="C288" s="75" t="str">
        <f>'Avail List'!A297</f>
        <v>RICE BASMATI BROWN 1KG</v>
      </c>
      <c r="D288" s="77" t="str">
        <f>'Avail List'!B297</f>
        <v>BX10</v>
      </c>
      <c r="E288" s="77" t="str">
        <f>'Avail List'!C297</f>
        <v>1KG</v>
      </c>
      <c r="F288" s="75" t="str">
        <f>'Avail List'!D297</f>
        <v>CHEFS CHOICE</v>
      </c>
      <c r="I288" s="78">
        <f>'Avail List'!I297</f>
        <v>67.849999999999994</v>
      </c>
      <c r="J288" s="75">
        <f>'Avail List'!J297</f>
        <v>0</v>
      </c>
      <c r="K288" s="76" t="s">
        <v>1170</v>
      </c>
    </row>
    <row r="289" spans="1:11" x14ac:dyDescent="0.25">
      <c r="A289" s="76" t="str">
        <f>'Avail List'!E298</f>
        <v>01200508</v>
      </c>
      <c r="B289" s="75" t="s">
        <v>15</v>
      </c>
      <c r="C289" s="75" t="str">
        <f>'Avail List'!A298</f>
        <v>RICE BASMATI 1KG</v>
      </c>
      <c r="D289" s="77" t="str">
        <f>'Avail List'!B298</f>
        <v>BX12</v>
      </c>
      <c r="E289" s="77" t="str">
        <f>'Avail List'!C298</f>
        <v>1KG</v>
      </c>
      <c r="F289" s="75" t="str">
        <f>'Avail List'!D298</f>
        <v>CHEFS CHOICE</v>
      </c>
      <c r="I289" s="78">
        <f>'Avail List'!I298</f>
        <v>81.400000000000006</v>
      </c>
      <c r="J289" s="75">
        <f>'Avail List'!J298</f>
        <v>0</v>
      </c>
      <c r="K289" s="76" t="s">
        <v>1171</v>
      </c>
    </row>
    <row r="290" spans="1:11" x14ac:dyDescent="0.25">
      <c r="A290" s="76" t="str">
        <f>'Avail List'!E299</f>
        <v>01200541</v>
      </c>
      <c r="B290" s="75" t="s">
        <v>15</v>
      </c>
      <c r="C290" s="75" t="str">
        <f>'Avail List'!A299</f>
        <v>RICE BASMATI PERSIAN 200G</v>
      </c>
      <c r="D290" s="77" t="str">
        <f>'Avail List'!B299</f>
        <v>BX15</v>
      </c>
      <c r="E290" s="77" t="str">
        <f>'Avail List'!C299</f>
        <v>200G</v>
      </c>
      <c r="F290" s="75" t="str">
        <f>'Avail List'!D299</f>
        <v>CHEFS CHOICE</v>
      </c>
      <c r="I290" s="78">
        <f>'Avail List'!I299</f>
        <v>72</v>
      </c>
      <c r="J290" s="75">
        <f>'Avail List'!J299</f>
        <v>0</v>
      </c>
      <c r="K290" s="76" t="s">
        <v>1172</v>
      </c>
    </row>
    <row r="291" spans="1:11" x14ac:dyDescent="0.25">
      <c r="A291" s="76">
        <f>'Avail List'!E300</f>
        <v>0</v>
      </c>
      <c r="B291" s="75" t="s">
        <v>15</v>
      </c>
      <c r="C291" s="75" t="str">
        <f>'Avail List'!A300</f>
        <v>JARRED VEGETABLES &amp; PICKLES</v>
      </c>
      <c r="D291" s="77">
        <f>'Avail List'!B300</f>
        <v>0</v>
      </c>
      <c r="E291" s="77">
        <f>'Avail List'!C300</f>
        <v>0</v>
      </c>
      <c r="F291" s="75" t="str">
        <f>'Avail List'!D300</f>
        <v/>
      </c>
      <c r="I291" s="78">
        <f>'Avail List'!I300</f>
        <v>0</v>
      </c>
      <c r="J291" s="75">
        <f>'Avail List'!J300</f>
        <v>0</v>
      </c>
      <c r="K291" s="76" t="s">
        <v>1173</v>
      </c>
    </row>
    <row r="292" spans="1:11" x14ac:dyDescent="0.25">
      <c r="A292" s="76" t="str">
        <f>'Avail List'!E301</f>
        <v>01200535</v>
      </c>
      <c r="B292" s="75" t="s">
        <v>15</v>
      </c>
      <c r="C292" s="75" t="str">
        <f>'Avail List'!A301</f>
        <v>CORN SWEET 350G</v>
      </c>
      <c r="D292" s="77" t="str">
        <f>'Avail List'!B301</f>
        <v>BX6</v>
      </c>
      <c r="E292" s="77" t="str">
        <f>'Avail List'!C301</f>
        <v>350G</v>
      </c>
      <c r="F292" s="75" t="str">
        <f>'Avail List'!D301</f>
        <v>CHEFS CHOICE</v>
      </c>
      <c r="I292" s="78">
        <f>'Avail List'!I301</f>
        <v>28.3</v>
      </c>
      <c r="J292" s="75">
        <f>'Avail List'!J301</f>
        <v>0</v>
      </c>
      <c r="K292" s="76" t="s">
        <v>1174</v>
      </c>
    </row>
    <row r="293" spans="1:11" x14ac:dyDescent="0.25">
      <c r="A293" s="76" t="str">
        <f>'Avail List'!E302</f>
        <v>01200536</v>
      </c>
      <c r="B293" s="75" t="s">
        <v>15</v>
      </c>
      <c r="C293" s="75" t="str">
        <f>'Avail List'!A302</f>
        <v>BEETROOT SLICES 340G</v>
      </c>
      <c r="D293" s="77" t="str">
        <f>'Avail List'!B302</f>
        <v>BX6</v>
      </c>
      <c r="E293" s="77" t="str">
        <f>'Avail List'!C302</f>
        <v>340G</v>
      </c>
      <c r="F293" s="75" t="str">
        <f>'Avail List'!D302</f>
        <v>CHEFS CHOICE</v>
      </c>
      <c r="I293" s="78">
        <f>'Avail List'!I302</f>
        <v>28.3</v>
      </c>
      <c r="J293" s="75">
        <f>'Avail List'!J302</f>
        <v>0</v>
      </c>
      <c r="K293" s="76" t="s">
        <v>1175</v>
      </c>
    </row>
    <row r="294" spans="1:11" x14ac:dyDescent="0.25">
      <c r="A294" s="76" t="str">
        <f>'Avail List'!E303</f>
        <v>01200547</v>
      </c>
      <c r="B294" s="75" t="s">
        <v>15</v>
      </c>
      <c r="C294" s="75" t="str">
        <f>'Avail List'!A303</f>
        <v>GARDEN PEAS 350G</v>
      </c>
      <c r="D294" s="77" t="str">
        <f>'Avail List'!B303</f>
        <v>BX6</v>
      </c>
      <c r="E294" s="77" t="str">
        <f>'Avail List'!C303</f>
        <v>350G</v>
      </c>
      <c r="F294" s="75" t="str">
        <f>'Avail List'!D303</f>
        <v>CHEFS CHOICE</v>
      </c>
      <c r="I294" s="78">
        <f>'Avail List'!I303</f>
        <v>28.3</v>
      </c>
      <c r="J294" s="75">
        <f>'Avail List'!J303</f>
        <v>0</v>
      </c>
      <c r="K294" s="76" t="s">
        <v>1176</v>
      </c>
    </row>
    <row r="295" spans="1:11" x14ac:dyDescent="0.25">
      <c r="A295" s="76" t="str">
        <f>'Avail List'!E304</f>
        <v>01200548</v>
      </c>
      <c r="B295" s="75" t="s">
        <v>15</v>
      </c>
      <c r="C295" s="75" t="str">
        <f>'Avail List'!A304</f>
        <v>GHERKINS SWEET &amp; SOUR 680G</v>
      </c>
      <c r="D295" s="77" t="str">
        <f>'Avail List'!B304</f>
        <v>BX6</v>
      </c>
      <c r="E295" s="77" t="str">
        <f>'Avail List'!C304</f>
        <v>680G</v>
      </c>
      <c r="F295" s="75" t="str">
        <f>'Avail List'!D304</f>
        <v>CHEFS CHOICE</v>
      </c>
      <c r="I295" s="78">
        <f>'Avail List'!I304</f>
        <v>48.6</v>
      </c>
      <c r="J295" s="75">
        <f>'Avail List'!J304</f>
        <v>0</v>
      </c>
      <c r="K295" s="76" t="s">
        <v>1177</v>
      </c>
    </row>
    <row r="296" spans="1:11" x14ac:dyDescent="0.25">
      <c r="A296" s="76" t="str">
        <f>'Avail List'!E305</f>
        <v>01200549</v>
      </c>
      <c r="B296" s="75" t="s">
        <v>15</v>
      </c>
      <c r="C296" s="75" t="str">
        <f>'Avail List'!A305</f>
        <v>SAUERKRAUT 360G</v>
      </c>
      <c r="D296" s="77" t="str">
        <f>'Avail List'!B305</f>
        <v>BX6</v>
      </c>
      <c r="E296" s="77" t="str">
        <f>'Avail List'!C305</f>
        <v>360G</v>
      </c>
      <c r="F296" s="75" t="str">
        <f>'Avail List'!D305</f>
        <v>CHEFS CHOICE</v>
      </c>
      <c r="I296" s="78">
        <f>'Avail List'!I305</f>
        <v>28.5</v>
      </c>
      <c r="J296" s="75">
        <f>'Avail List'!J305</f>
        <v>0</v>
      </c>
      <c r="K296" s="76" t="s">
        <v>1178</v>
      </c>
    </row>
    <row r="297" spans="1:11" x14ac:dyDescent="0.25">
      <c r="A297" s="76" t="str">
        <f>'Avail List'!E306</f>
        <v>01200550</v>
      </c>
      <c r="B297" s="75" t="s">
        <v>15</v>
      </c>
      <c r="C297" s="75" t="str">
        <f>'Avail List'!A306</f>
        <v>SAUERKRAUT W BEETROOT 360G</v>
      </c>
      <c r="D297" s="77" t="str">
        <f>'Avail List'!B306</f>
        <v>BX6</v>
      </c>
      <c r="E297" s="77" t="str">
        <f>'Avail List'!C306</f>
        <v>350G</v>
      </c>
      <c r="F297" s="75" t="str">
        <f>'Avail List'!D306</f>
        <v>CHEFS CHOICE</v>
      </c>
      <c r="I297" s="78">
        <f>'Avail List'!I306</f>
        <v>28.5</v>
      </c>
      <c r="J297" s="75">
        <f>'Avail List'!J306</f>
        <v>0</v>
      </c>
      <c r="K297" s="76" t="s">
        <v>1179</v>
      </c>
    </row>
    <row r="298" spans="1:11" x14ac:dyDescent="0.25">
      <c r="A298" s="76" t="str">
        <f>'Avail List'!E307</f>
        <v>01200551</v>
      </c>
      <c r="B298" s="75" t="s">
        <v>15</v>
      </c>
      <c r="C298" s="75" t="str">
        <f>'Avail List'!A307</f>
        <v>SAUERKRAUT W GINGER &amp; TURMERIC 360G</v>
      </c>
      <c r="D298" s="77" t="str">
        <f>'Avail List'!B307</f>
        <v>BX6</v>
      </c>
      <c r="E298" s="77" t="str">
        <f>'Avail List'!C307</f>
        <v>350G</v>
      </c>
      <c r="F298" s="75" t="str">
        <f>'Avail List'!D307</f>
        <v>CHEFS CHOICE</v>
      </c>
      <c r="I298" s="78">
        <f>'Avail List'!I307</f>
        <v>28.5</v>
      </c>
      <c r="J298" s="75">
        <f>'Avail List'!J307</f>
        <v>0</v>
      </c>
      <c r="K298" s="76" t="s">
        <v>1180</v>
      </c>
    </row>
    <row r="299" spans="1:11" x14ac:dyDescent="0.25">
      <c r="A299" s="76" t="str">
        <f>'Avail List'!E308</f>
        <v>01200606</v>
      </c>
      <c r="B299" s="75" t="s">
        <v>15</v>
      </c>
      <c r="C299" s="75" t="str">
        <f>'Avail List'!A308</f>
        <v>CRUSHED GARLIC 220G</v>
      </c>
      <c r="D299" s="77" t="str">
        <f>'Avail List'!B308</f>
        <v>BX6</v>
      </c>
      <c r="E299" s="77" t="str">
        <f>'Avail List'!C308</f>
        <v>220G</v>
      </c>
      <c r="F299" s="75" t="str">
        <f>'Avail List'!D308</f>
        <v>JENSENS ORGANIC</v>
      </c>
      <c r="I299" s="78">
        <f>'Avail List'!I308</f>
        <v>27.5</v>
      </c>
      <c r="J299" s="75">
        <f>'Avail List'!J308</f>
        <v>0</v>
      </c>
      <c r="K299" s="76" t="s">
        <v>1181</v>
      </c>
    </row>
    <row r="300" spans="1:11" x14ac:dyDescent="0.25">
      <c r="A300" s="76" t="str">
        <f>'Avail List'!E309</f>
        <v>01200605</v>
      </c>
      <c r="B300" s="75" t="s">
        <v>15</v>
      </c>
      <c r="C300" s="75" t="str">
        <f>'Avail List'!A309</f>
        <v>CRUSHED GINGER 220G</v>
      </c>
      <c r="D300" s="77" t="str">
        <f>'Avail List'!B309</f>
        <v>BX6</v>
      </c>
      <c r="E300" s="77" t="str">
        <f>'Avail List'!C309</f>
        <v>220G</v>
      </c>
      <c r="F300" s="75" t="str">
        <f>'Avail List'!D309</f>
        <v>JENSENS ORGANIC</v>
      </c>
      <c r="I300" s="78">
        <f>'Avail List'!I309</f>
        <v>25.5</v>
      </c>
      <c r="J300" s="75">
        <f>'Avail List'!J309</f>
        <v>0</v>
      </c>
      <c r="K300" s="76" t="s">
        <v>1182</v>
      </c>
    </row>
    <row r="301" spans="1:11" x14ac:dyDescent="0.25">
      <c r="A301" s="76" t="str">
        <f>'Avail List'!E310</f>
        <v>01200855</v>
      </c>
      <c r="B301" s="75" t="s">
        <v>15</v>
      </c>
      <c r="C301" s="75" t="str">
        <f>'Avail List'!A310</f>
        <v>SAMBAL TOMAT 300G</v>
      </c>
      <c r="D301" s="77" t="str">
        <f>'Avail List'!B310</f>
        <v>BX8</v>
      </c>
      <c r="E301" s="77" t="str">
        <f>'Avail List'!C310</f>
        <v>300g</v>
      </c>
      <c r="F301" s="75" t="str">
        <f>'Avail List'!D310</f>
        <v xml:space="preserve">LOVE ORGANICS </v>
      </c>
      <c r="I301" s="78">
        <f>'Avail List'!I310</f>
        <v>75.599999999999994</v>
      </c>
      <c r="J301" s="75" t="str">
        <f>'Avail List'!J310</f>
        <v>OUT OF STOCK FROM SUPPLIER</v>
      </c>
      <c r="K301" s="76" t="s">
        <v>1183</v>
      </c>
    </row>
    <row r="302" spans="1:11" x14ac:dyDescent="0.25">
      <c r="A302" s="76" t="str">
        <f>'Avail List'!E311</f>
        <v>01200850</v>
      </c>
      <c r="B302" s="75" t="s">
        <v>15</v>
      </c>
      <c r="C302" s="75" t="str">
        <f>'Avail List'!A311</f>
        <v>KRAUT ACHARA 440G</v>
      </c>
      <c r="D302" s="77" t="str">
        <f>'Avail List'!B311</f>
        <v>BX6</v>
      </c>
      <c r="E302" s="77" t="str">
        <f>'Avail List'!C311</f>
        <v>440g</v>
      </c>
      <c r="F302" s="75" t="str">
        <f>'Avail List'!D311</f>
        <v xml:space="preserve">LOVE ORGANICS </v>
      </c>
      <c r="I302" s="78">
        <f>'Avail List'!I311</f>
        <v>74.52</v>
      </c>
      <c r="J302" s="75">
        <f>'Avail List'!J311</f>
        <v>0</v>
      </c>
      <c r="K302" s="76" t="s">
        <v>1184</v>
      </c>
    </row>
    <row r="303" spans="1:11" x14ac:dyDescent="0.25">
      <c r="A303" s="76" t="str">
        <f>'Avail List'!E312</f>
        <v>01200853</v>
      </c>
      <c r="B303" s="75" t="s">
        <v>15</v>
      </c>
      <c r="C303" s="75" t="str">
        <f>'Avail List'!A312</f>
        <v>KRAUT RUBY 440G</v>
      </c>
      <c r="D303" s="77" t="str">
        <f>'Avail List'!B312</f>
        <v>BX6</v>
      </c>
      <c r="E303" s="77" t="str">
        <f>'Avail List'!C312</f>
        <v>440g</v>
      </c>
      <c r="F303" s="75" t="str">
        <f>'Avail List'!D312</f>
        <v xml:space="preserve">LOVE ORGANICS </v>
      </c>
      <c r="I303" s="78">
        <f>'Avail List'!I312</f>
        <v>74.52</v>
      </c>
      <c r="J303" s="75">
        <f>'Avail List'!J312</f>
        <v>0</v>
      </c>
      <c r="K303" s="76" t="s">
        <v>1185</v>
      </c>
    </row>
    <row r="304" spans="1:11" x14ac:dyDescent="0.25">
      <c r="A304" s="76" t="str">
        <f>'Avail List'!E313</f>
        <v>01200852</v>
      </c>
      <c r="B304" s="75" t="s">
        <v>15</v>
      </c>
      <c r="C304" s="75" t="str">
        <f>'Avail List'!A313</f>
        <v>KRAUT KIMCHI 440G</v>
      </c>
      <c r="D304" s="77" t="str">
        <f>'Avail List'!B313</f>
        <v>BX6</v>
      </c>
      <c r="E304" s="77" t="str">
        <f>'Avail List'!C313</f>
        <v>440g</v>
      </c>
      <c r="F304" s="75" t="str">
        <f>'Avail List'!D313</f>
        <v xml:space="preserve">LOVE ORGANICS </v>
      </c>
      <c r="I304" s="78">
        <f>'Avail List'!I313</f>
        <v>74.52</v>
      </c>
      <c r="J304" s="75">
        <f>'Avail List'!J313</f>
        <v>0</v>
      </c>
      <c r="K304" s="76" t="s">
        <v>1186</v>
      </c>
    </row>
    <row r="305" spans="1:11" x14ac:dyDescent="0.25">
      <c r="A305" s="76" t="str">
        <f>'Avail List'!E314</f>
        <v>01200851</v>
      </c>
      <c r="B305" s="75" t="s">
        <v>15</v>
      </c>
      <c r="C305" s="75" t="str">
        <f>'Avail List'!A314</f>
        <v>KRAUT FENNEL 440G</v>
      </c>
      <c r="D305" s="77" t="str">
        <f>'Avail List'!B314</f>
        <v>BX6</v>
      </c>
      <c r="E305" s="77" t="str">
        <f>'Avail List'!C314</f>
        <v>440g</v>
      </c>
      <c r="F305" s="75" t="str">
        <f>'Avail List'!D314</f>
        <v xml:space="preserve">LOVE ORGANICS </v>
      </c>
      <c r="I305" s="78">
        <f>'Avail List'!I314</f>
        <v>74.52</v>
      </c>
      <c r="J305" s="75">
        <f>'Avail List'!J314</f>
        <v>0</v>
      </c>
      <c r="K305" s="76" t="s">
        <v>1187</v>
      </c>
    </row>
    <row r="306" spans="1:11" x14ac:dyDescent="0.25">
      <c r="A306" s="76" t="str">
        <f>'Avail List'!E315</f>
        <v>01200854</v>
      </c>
      <c r="B306" s="75" t="s">
        <v>15</v>
      </c>
      <c r="C306" s="75" t="str">
        <f>'Avail List'!A315</f>
        <v>KRAUT SEA.CHI 440G</v>
      </c>
      <c r="D306" s="77" t="str">
        <f>'Avail List'!B315</f>
        <v>BX6</v>
      </c>
      <c r="E306" s="77" t="str">
        <f>'Avail List'!C315</f>
        <v>440g</v>
      </c>
      <c r="F306" s="75" t="str">
        <f>'Avail List'!D315</f>
        <v xml:space="preserve">LOVE ORGANICS </v>
      </c>
      <c r="I306" s="78">
        <f>'Avail List'!I315</f>
        <v>74.52</v>
      </c>
      <c r="J306" s="75">
        <f>'Avail List'!J315</f>
        <v>0</v>
      </c>
      <c r="K306" s="76" t="s">
        <v>1188</v>
      </c>
    </row>
    <row r="307" spans="1:11" x14ac:dyDescent="0.25">
      <c r="A307" s="76" t="str">
        <f>'Avail List'!E316</f>
        <v>01200856</v>
      </c>
      <c r="B307" s="75" t="s">
        <v>15</v>
      </c>
      <c r="C307" s="75" t="str">
        <f>'Avail List'!A316</f>
        <v>KRAUT EMBAH 440G</v>
      </c>
      <c r="D307" s="77" t="str">
        <f>'Avail List'!B316</f>
        <v>BX6</v>
      </c>
      <c r="E307" s="77" t="str">
        <f>'Avail List'!C316</f>
        <v>440g</v>
      </c>
      <c r="F307" s="75" t="str">
        <f>'Avail List'!D316</f>
        <v xml:space="preserve">LOVE ORGANICS </v>
      </c>
      <c r="I307" s="78">
        <f>'Avail List'!I316</f>
        <v>74.52</v>
      </c>
      <c r="J307" s="75">
        <f>'Avail List'!J316</f>
        <v>0</v>
      </c>
      <c r="K307" s="76" t="s">
        <v>1189</v>
      </c>
    </row>
    <row r="308" spans="1:11" x14ac:dyDescent="0.25">
      <c r="A308" s="76">
        <f>'Avail List'!E317</f>
        <v>0</v>
      </c>
      <c r="B308" s="75" t="s">
        <v>15</v>
      </c>
      <c r="C308" s="75" t="str">
        <f>'Avail List'!A317</f>
        <v>TINNED TOMATOES &amp; BEANS</v>
      </c>
      <c r="D308" s="77">
        <f>'Avail List'!B317</f>
        <v>0</v>
      </c>
      <c r="E308" s="77" t="str">
        <f>'Avail List'!C317</f>
        <v/>
      </c>
      <c r="F308" s="75" t="str">
        <f>'Avail List'!D317</f>
        <v/>
      </c>
      <c r="I308" s="78">
        <f>'Avail List'!I317</f>
        <v>0</v>
      </c>
      <c r="J308" s="75">
        <f>'Avail List'!J317</f>
        <v>0</v>
      </c>
      <c r="K308" s="76" t="s">
        <v>1190</v>
      </c>
    </row>
    <row r="309" spans="1:11" x14ac:dyDescent="0.25">
      <c r="A309" s="76" t="str">
        <f>'Avail List'!E318</f>
        <v>01200511</v>
      </c>
      <c r="B309" s="75" t="s">
        <v>15</v>
      </c>
      <c r="C309" s="75" t="str">
        <f>'Avail List'!A318</f>
        <v>4 BEAN MIX 400G</v>
      </c>
      <c r="D309" s="77" t="str">
        <f>'Avail List'!B318</f>
        <v>BX12</v>
      </c>
      <c r="E309" s="77" t="str">
        <f>'Avail List'!C318</f>
        <v>400G</v>
      </c>
      <c r="F309" s="75" t="str">
        <f>'Avail List'!D318</f>
        <v>CHEFS CHOICE</v>
      </c>
      <c r="I309" s="78">
        <f>'Avail List'!I318</f>
        <v>24</v>
      </c>
      <c r="J309" s="75">
        <f>'Avail List'!J318</f>
        <v>0</v>
      </c>
      <c r="K309" s="76" t="s">
        <v>1191</v>
      </c>
    </row>
    <row r="310" spans="1:11" x14ac:dyDescent="0.25">
      <c r="A310" s="76" t="str">
        <f>'Avail List'!E319</f>
        <v>01200512</v>
      </c>
      <c r="B310" s="75" t="s">
        <v>15</v>
      </c>
      <c r="C310" s="75" t="str">
        <f>'Avail List'!A319</f>
        <v>BLACK BEANS 400G</v>
      </c>
      <c r="D310" s="77" t="str">
        <f>'Avail List'!B319</f>
        <v>BX12</v>
      </c>
      <c r="E310" s="77" t="str">
        <f>'Avail List'!C319</f>
        <v>400G</v>
      </c>
      <c r="F310" s="75" t="str">
        <f>'Avail List'!D319</f>
        <v>CHEFS CHOICE</v>
      </c>
      <c r="I310" s="78">
        <f>'Avail List'!I319</f>
        <v>24</v>
      </c>
      <c r="J310" s="75">
        <f>'Avail List'!J319</f>
        <v>0</v>
      </c>
      <c r="K310" s="76" t="s">
        <v>1192</v>
      </c>
    </row>
    <row r="311" spans="1:11" x14ac:dyDescent="0.25">
      <c r="A311" s="76" t="str">
        <f>'Avail List'!E320</f>
        <v>01200518</v>
      </c>
      <c r="B311" s="75" t="s">
        <v>15</v>
      </c>
      <c r="C311" s="75" t="str">
        <f>'Avail List'!A320</f>
        <v>LENTILS BROWN 400G</v>
      </c>
      <c r="D311" s="77" t="str">
        <f>'Avail List'!B320</f>
        <v>BX12</v>
      </c>
      <c r="E311" s="77" t="str">
        <f>'Avail List'!C320</f>
        <v>400G</v>
      </c>
      <c r="F311" s="75" t="str">
        <f>'Avail List'!D320</f>
        <v>CHEFS CHOICE</v>
      </c>
      <c r="I311" s="78">
        <f>'Avail List'!I320</f>
        <v>24</v>
      </c>
      <c r="J311" s="75">
        <f>'Avail List'!J320</f>
        <v>0</v>
      </c>
      <c r="K311" s="76" t="s">
        <v>1193</v>
      </c>
    </row>
    <row r="312" spans="1:11" x14ac:dyDescent="0.25">
      <c r="A312" s="76" t="str">
        <f>'Avail List'!E321</f>
        <v>01200515</v>
      </c>
      <c r="B312" s="75" t="s">
        <v>15</v>
      </c>
      <c r="C312" s="75" t="str">
        <f>'Avail List'!A321</f>
        <v>RED KIDNEY BEANS 400G</v>
      </c>
      <c r="D312" s="77" t="str">
        <f>'Avail List'!B321</f>
        <v>BX12</v>
      </c>
      <c r="E312" s="77" t="str">
        <f>'Avail List'!C321</f>
        <v>400G</v>
      </c>
      <c r="F312" s="75" t="str">
        <f>'Avail List'!D321</f>
        <v>CHEFS CHOICE</v>
      </c>
      <c r="I312" s="78">
        <f>'Avail List'!I321</f>
        <v>24</v>
      </c>
      <c r="J312" s="75">
        <f>'Avail List'!J321</f>
        <v>0</v>
      </c>
      <c r="K312" s="76" t="s">
        <v>1194</v>
      </c>
    </row>
    <row r="313" spans="1:11" x14ac:dyDescent="0.25">
      <c r="A313" s="76" t="str">
        <f>'Avail List'!E322</f>
        <v>01200514</v>
      </c>
      <c r="B313" s="75" t="s">
        <v>15</v>
      </c>
      <c r="C313" s="75" t="str">
        <f>'Avail List'!A322</f>
        <v>CHICKPEAS IN WATER 400G</v>
      </c>
      <c r="D313" s="77" t="str">
        <f>'Avail List'!B322</f>
        <v>BX12</v>
      </c>
      <c r="E313" s="77" t="str">
        <f>'Avail List'!C322</f>
        <v>400G</v>
      </c>
      <c r="F313" s="75" t="str">
        <f>'Avail List'!D322</f>
        <v>CHEFS CHOICE</v>
      </c>
      <c r="I313" s="78">
        <f>'Avail List'!I322</f>
        <v>24</v>
      </c>
      <c r="J313" s="75">
        <f>'Avail List'!J322</f>
        <v>0</v>
      </c>
      <c r="K313" s="76" t="s">
        <v>1195</v>
      </c>
    </row>
    <row r="314" spans="1:11" x14ac:dyDescent="0.25">
      <c r="A314" s="76" t="str">
        <f>'Avail List'!E323</f>
        <v>01200516</v>
      </c>
      <c r="B314" s="75" t="s">
        <v>15</v>
      </c>
      <c r="C314" s="75" t="str">
        <f>'Avail List'!A323</f>
        <v>BEAN CANNELLINI WHITE 400G</v>
      </c>
      <c r="D314" s="77" t="str">
        <f>'Avail List'!B323</f>
        <v>BX12</v>
      </c>
      <c r="E314" s="77" t="str">
        <f>'Avail List'!C323</f>
        <v>400G</v>
      </c>
      <c r="F314" s="75" t="str">
        <f>'Avail List'!D323</f>
        <v>CHEFS CHOICE</v>
      </c>
      <c r="I314" s="78">
        <f>'Avail List'!I323</f>
        <v>24</v>
      </c>
      <c r="J314" s="75">
        <f>'Avail List'!J323</f>
        <v>0</v>
      </c>
      <c r="K314" s="76" t="s">
        <v>1196</v>
      </c>
    </row>
    <row r="315" spans="1:11" x14ac:dyDescent="0.25">
      <c r="A315" s="76" t="str">
        <f>'Avail List'!E324</f>
        <v>01200513</v>
      </c>
      <c r="B315" s="75" t="s">
        <v>15</v>
      </c>
      <c r="C315" s="75" t="str">
        <f>'Avail List'!A324</f>
        <v>BEANS BUTTER IN WATER 400G</v>
      </c>
      <c r="D315" s="77" t="str">
        <f>'Avail List'!B324</f>
        <v>BX12</v>
      </c>
      <c r="E315" s="77" t="str">
        <f>'Avail List'!C324</f>
        <v>400G</v>
      </c>
      <c r="F315" s="75" t="str">
        <f>'Avail List'!D324</f>
        <v>CHEFS CHOICE</v>
      </c>
      <c r="I315" s="78">
        <f>'Avail List'!I324</f>
        <v>24</v>
      </c>
      <c r="J315" s="75">
        <f>'Avail List'!J324</f>
        <v>0</v>
      </c>
      <c r="K315" s="76" t="s">
        <v>1197</v>
      </c>
    </row>
    <row r="316" spans="1:11" x14ac:dyDescent="0.25">
      <c r="A316" s="76" t="str">
        <f>'Avail List'!E325</f>
        <v>01200517</v>
      </c>
      <c r="B316" s="75" t="s">
        <v>15</v>
      </c>
      <c r="C316" s="75" t="str">
        <f>'Avail List'!A325</f>
        <v>BEAN BAKED IN TOM SAUCE 400G</v>
      </c>
      <c r="D316" s="77" t="str">
        <f>'Avail List'!B325</f>
        <v>BX12</v>
      </c>
      <c r="E316" s="77" t="str">
        <f>'Avail List'!C325</f>
        <v>400G</v>
      </c>
      <c r="F316" s="75" t="str">
        <f>'Avail List'!D325</f>
        <v>CHEFS CHOICE</v>
      </c>
      <c r="I316" s="78">
        <f>'Avail List'!I325</f>
        <v>24</v>
      </c>
      <c r="J316" s="75">
        <f>'Avail List'!J325</f>
        <v>0</v>
      </c>
      <c r="K316" s="76" t="s">
        <v>1198</v>
      </c>
    </row>
    <row r="317" spans="1:11" x14ac:dyDescent="0.25">
      <c r="A317" s="76" t="str">
        <f>'Avail List'!E326</f>
        <v>01200500</v>
      </c>
      <c r="B317" s="75" t="s">
        <v>15</v>
      </c>
      <c r="C317" s="75" t="str">
        <f>'Avail List'!A326</f>
        <v>TOMATO WHOLE PEELED 400G</v>
      </c>
      <c r="D317" s="77" t="str">
        <f>'Avail List'!B326</f>
        <v>BX12</v>
      </c>
      <c r="E317" s="77" t="str">
        <f>'Avail List'!C326</f>
        <v>400G</v>
      </c>
      <c r="F317" s="75" t="str">
        <f>'Avail List'!D326</f>
        <v>CHEFS CHOICE</v>
      </c>
      <c r="I317" s="78">
        <f>'Avail List'!I326</f>
        <v>27</v>
      </c>
      <c r="J317" s="75">
        <f>'Avail List'!J326</f>
        <v>0</v>
      </c>
      <c r="K317" s="76" t="s">
        <v>1199</v>
      </c>
    </row>
    <row r="318" spans="1:11" x14ac:dyDescent="0.25">
      <c r="A318" s="76" t="str">
        <f>'Avail List'!E327</f>
        <v>01200501</v>
      </c>
      <c r="B318" s="75" t="s">
        <v>15</v>
      </c>
      <c r="C318" s="75" t="str">
        <f>'Avail List'!A327</f>
        <v>TOMATO DICED 400G</v>
      </c>
      <c r="D318" s="77" t="str">
        <f>'Avail List'!B327</f>
        <v>BX12</v>
      </c>
      <c r="E318" s="77" t="str">
        <f>'Avail List'!C327</f>
        <v>400G</v>
      </c>
      <c r="F318" s="75" t="str">
        <f>'Avail List'!D327</f>
        <v>CHEFS CHOICE</v>
      </c>
      <c r="I318" s="78">
        <f>'Avail List'!I327</f>
        <v>24</v>
      </c>
      <c r="J318" s="75">
        <f>'Avail List'!J327</f>
        <v>0</v>
      </c>
      <c r="K318" s="76" t="s">
        <v>1200</v>
      </c>
    </row>
    <row r="319" spans="1:11" x14ac:dyDescent="0.25">
      <c r="A319" s="76">
        <f>'Avail List'!E328</f>
        <v>0</v>
      </c>
      <c r="B319" s="75" t="s">
        <v>15</v>
      </c>
      <c r="C319" s="75" t="str">
        <f>'Avail List'!A328</f>
        <v>SAUCES, SALSA &amp; VINEGAR</v>
      </c>
      <c r="D319" s="77">
        <f>'Avail List'!B328</f>
        <v>0</v>
      </c>
      <c r="E319" s="77" t="str">
        <f>'Avail List'!C328</f>
        <v/>
      </c>
      <c r="F319" s="75" t="str">
        <f>'Avail List'!D328</f>
        <v/>
      </c>
      <c r="I319" s="78">
        <f>'Avail List'!I328</f>
        <v>0</v>
      </c>
      <c r="J319" s="75">
        <f>'Avail List'!J328</f>
        <v>0</v>
      </c>
      <c r="K319" s="76" t="s">
        <v>1201</v>
      </c>
    </row>
    <row r="320" spans="1:11" x14ac:dyDescent="0.25">
      <c r="A320" s="76" t="str">
        <f>'Avail List'!E329</f>
        <v>01200527</v>
      </c>
      <c r="B320" s="75" t="s">
        <v>15</v>
      </c>
      <c r="C320" s="75" t="str">
        <f>'Avail List'!A329</f>
        <v>SAUCE PASSATA W/BASIL 680G</v>
      </c>
      <c r="D320" s="77" t="str">
        <f>'Avail List'!B329</f>
        <v>BX12</v>
      </c>
      <c r="E320" s="77" t="str">
        <f>'Avail List'!C329</f>
        <v>680G</v>
      </c>
      <c r="F320" s="75" t="str">
        <f>'Avail List'!D329</f>
        <v>CHEFS CHOICE</v>
      </c>
      <c r="I320" s="78">
        <f>'Avail List'!I329</f>
        <v>49.9</v>
      </c>
      <c r="J320" s="75">
        <f>'Avail List'!J329</f>
        <v>0</v>
      </c>
      <c r="K320" s="76" t="s">
        <v>1202</v>
      </c>
    </row>
    <row r="321" spans="1:11" x14ac:dyDescent="0.25">
      <c r="A321" s="76" t="str">
        <f>'Avail List'!E330</f>
        <v>01200502</v>
      </c>
      <c r="B321" s="75" t="s">
        <v>15</v>
      </c>
      <c r="C321" s="75" t="str">
        <f>'Avail List'!A330</f>
        <v>SAUCE PASSATA RUSTICA 680G</v>
      </c>
      <c r="D321" s="77" t="str">
        <f>'Avail List'!B330</f>
        <v>BX12</v>
      </c>
      <c r="E321" s="77" t="str">
        <f>'Avail List'!C330</f>
        <v>680G</v>
      </c>
      <c r="F321" s="75" t="str">
        <f>'Avail List'!D330</f>
        <v>CHEFS CHOICE</v>
      </c>
      <c r="I321" s="78">
        <f>'Avail List'!I330</f>
        <v>49.9</v>
      </c>
      <c r="J321" s="75">
        <f>'Avail List'!J330</f>
        <v>0</v>
      </c>
      <c r="K321" s="76" t="s">
        <v>1203</v>
      </c>
    </row>
    <row r="322" spans="1:11" x14ac:dyDescent="0.25">
      <c r="A322" s="76" t="str">
        <f>'Avail List'!E331</f>
        <v>01200526</v>
      </c>
      <c r="B322" s="75" t="s">
        <v>15</v>
      </c>
      <c r="C322" s="75" t="str">
        <f>'Avail List'!A331</f>
        <v>SAUCE PASSATA COOKING 680G</v>
      </c>
      <c r="D322" s="77" t="str">
        <f>'Avail List'!B331</f>
        <v>BX12</v>
      </c>
      <c r="E322" s="77" t="str">
        <f>'Avail List'!C331</f>
        <v>680G</v>
      </c>
      <c r="F322" s="75" t="str">
        <f>'Avail List'!D331</f>
        <v>CHEFS CHOICE</v>
      </c>
      <c r="I322" s="78">
        <f>'Avail List'!I331</f>
        <v>49.9</v>
      </c>
      <c r="J322" s="75">
        <f>'Avail List'!J331</f>
        <v>0</v>
      </c>
      <c r="K322" s="76" t="s">
        <v>1204</v>
      </c>
    </row>
    <row r="323" spans="1:11" x14ac:dyDescent="0.25">
      <c r="A323" s="76" t="str">
        <f>'Avail List'!E332</f>
        <v>01200528</v>
      </c>
      <c r="B323" s="75" t="s">
        <v>15</v>
      </c>
      <c r="C323" s="75" t="str">
        <f>'Avail List'!A332</f>
        <v>VINEGAR APPLE CIDER 500ML</v>
      </c>
      <c r="D323" s="77" t="str">
        <f>'Avail List'!B332</f>
        <v>BX6</v>
      </c>
      <c r="E323" s="77" t="str">
        <f>'Avail List'!C332</f>
        <v>500ML</v>
      </c>
      <c r="F323" s="75" t="str">
        <f>'Avail List'!D332</f>
        <v>CHEFS CHOICE</v>
      </c>
      <c r="I323" s="78">
        <f>'Avail List'!I332</f>
        <v>34.200000000000003</v>
      </c>
      <c r="J323" s="75">
        <f>'Avail List'!J332</f>
        <v>0</v>
      </c>
      <c r="K323" s="76" t="s">
        <v>1205</v>
      </c>
    </row>
    <row r="324" spans="1:11" x14ac:dyDescent="0.25">
      <c r="A324" s="76" t="str">
        <f>'Avail List'!E333</f>
        <v>01200604</v>
      </c>
      <c r="B324" s="75" t="s">
        <v>15</v>
      </c>
      <c r="C324" s="75" t="str">
        <f>'Avail List'!A333</f>
        <v>MILD SALSA 320G</v>
      </c>
      <c r="D324" s="77" t="str">
        <f>'Avail List'!B333</f>
        <v>BX6</v>
      </c>
      <c r="E324" s="77" t="str">
        <f>'Avail List'!C333</f>
        <v>320G</v>
      </c>
      <c r="F324" s="75" t="str">
        <f>'Avail List'!D333</f>
        <v>JENSENS ORGANIC</v>
      </c>
      <c r="I324" s="78">
        <f>'Avail List'!I333</f>
        <v>24.7</v>
      </c>
      <c r="J324" s="75">
        <f>'Avail List'!J333</f>
        <v>0</v>
      </c>
      <c r="K324" s="76" t="s">
        <v>1206</v>
      </c>
    </row>
    <row r="325" spans="1:11" x14ac:dyDescent="0.25">
      <c r="A325" s="76" t="str">
        <f>'Avail List'!E334</f>
        <v>01200603</v>
      </c>
      <c r="B325" s="75" t="s">
        <v>15</v>
      </c>
      <c r="C325" s="75" t="str">
        <f>'Avail List'!A334</f>
        <v>MEDIUM SALSA 320G</v>
      </c>
      <c r="D325" s="77" t="str">
        <f>'Avail List'!B334</f>
        <v>BX6</v>
      </c>
      <c r="E325" s="77" t="str">
        <f>'Avail List'!C334</f>
        <v>320G</v>
      </c>
      <c r="F325" s="75" t="str">
        <f>'Avail List'!D334</f>
        <v>JENSENS ORGANIC</v>
      </c>
      <c r="I325" s="78">
        <f>'Avail List'!I334</f>
        <v>24.7</v>
      </c>
      <c r="J325" s="75">
        <f>'Avail List'!J334</f>
        <v>0</v>
      </c>
      <c r="K325" s="76" t="s">
        <v>1207</v>
      </c>
    </row>
    <row r="326" spans="1:11" x14ac:dyDescent="0.25">
      <c r="A326" s="76" t="str">
        <f>'Avail List'!E335</f>
        <v>01200648</v>
      </c>
      <c r="B326" s="75" t="s">
        <v>15</v>
      </c>
      <c r="C326" s="75" t="str">
        <f>'Avail List'!A335</f>
        <v>COCONUT MILK LEMONGRASS &amp; GINGER CURRY 400G</v>
      </c>
      <c r="D326" s="77" t="str">
        <f>'Avail List'!B335</f>
        <v>BX6</v>
      </c>
      <c r="E326" s="77" t="str">
        <f>'Avail List'!C335</f>
        <v>400G</v>
      </c>
      <c r="F326" s="75" t="str">
        <f>'Avail List'!D335</f>
        <v>BLISSFUL ORGANIC</v>
      </c>
      <c r="I326" s="78">
        <f>'Avail List'!I335</f>
        <v>22.5</v>
      </c>
      <c r="J326" s="75" t="str">
        <f>'Avail List'!J335</f>
        <v>**SPECIAL**</v>
      </c>
      <c r="K326" s="76" t="s">
        <v>1208</v>
      </c>
    </row>
    <row r="327" spans="1:11" x14ac:dyDescent="0.25">
      <c r="A327" s="76" t="str">
        <f>'Avail List'!E336</f>
        <v>01200649</v>
      </c>
      <c r="B327" s="75" t="s">
        <v>15</v>
      </c>
      <c r="C327" s="75" t="str">
        <f>'Avail List'!A336</f>
        <v>COCONUT MILK YELLOW CURRY 400G</v>
      </c>
      <c r="D327" s="77" t="str">
        <f>'Avail List'!B336</f>
        <v>BX6</v>
      </c>
      <c r="E327" s="77" t="str">
        <f>'Avail List'!C336</f>
        <v>400G</v>
      </c>
      <c r="F327" s="75" t="str">
        <f>'Avail List'!D336</f>
        <v>BLISSFUL ORGANIC</v>
      </c>
      <c r="I327" s="78">
        <f>'Avail List'!I336</f>
        <v>22.5</v>
      </c>
      <c r="J327" s="75" t="str">
        <f>'Avail List'!J336</f>
        <v>**SPECIAL**</v>
      </c>
      <c r="K327" s="76" t="s">
        <v>1209</v>
      </c>
    </row>
    <row r="328" spans="1:11" x14ac:dyDescent="0.25">
      <c r="A328" s="76" t="str">
        <f>'Avail List'!E337</f>
        <v>01200650</v>
      </c>
      <c r="B328" s="75" t="s">
        <v>15</v>
      </c>
      <c r="C328" s="75" t="str">
        <f>'Avail List'!A337</f>
        <v>COCONUT MILK GREEN CURRY 400G</v>
      </c>
      <c r="D328" s="77" t="str">
        <f>'Avail List'!B337</f>
        <v>BX6</v>
      </c>
      <c r="E328" s="77" t="str">
        <f>'Avail List'!C337</f>
        <v>400G</v>
      </c>
      <c r="F328" s="75" t="str">
        <f>'Avail List'!D337</f>
        <v>BLISSFUL ORGANIC</v>
      </c>
      <c r="I328" s="78">
        <f>'Avail List'!I337</f>
        <v>22.5</v>
      </c>
      <c r="J328" s="75" t="str">
        <f>'Avail List'!J337</f>
        <v>**SPECIAL**</v>
      </c>
      <c r="K328" s="76" t="s">
        <v>1210</v>
      </c>
    </row>
    <row r="329" spans="1:11" x14ac:dyDescent="0.25">
      <c r="A329" s="76" t="str">
        <f>'Avail List'!E338</f>
        <v>01200651</v>
      </c>
      <c r="B329" s="75" t="s">
        <v>15</v>
      </c>
      <c r="C329" s="75" t="str">
        <f>'Avail List'!A338</f>
        <v>COCONUT MILK RED CURRY 400G</v>
      </c>
      <c r="D329" s="77" t="str">
        <f>'Avail List'!B338</f>
        <v>BX6</v>
      </c>
      <c r="E329" s="77" t="str">
        <f>'Avail List'!C338</f>
        <v>400G</v>
      </c>
      <c r="F329" s="75" t="str">
        <f>'Avail List'!D338</f>
        <v>BLISSFUL ORGANIC</v>
      </c>
      <c r="I329" s="78">
        <f>'Avail List'!I338</f>
        <v>22.5</v>
      </c>
      <c r="J329" s="75" t="str">
        <f>'Avail List'!J338</f>
        <v>**SPECIAL**</v>
      </c>
      <c r="K329" s="76" t="s">
        <v>1211</v>
      </c>
    </row>
    <row r="330" spans="1:11" x14ac:dyDescent="0.25">
      <c r="A330" s="76" t="str">
        <f>'Avail List'!E339</f>
        <v>01200100</v>
      </c>
      <c r="B330" s="75" t="s">
        <v>15</v>
      </c>
      <c r="C330" s="75" t="str">
        <f>'Avail List'!A339</f>
        <v>SWEET CHILLI SAUCE 435ML</v>
      </c>
      <c r="D330" s="77" t="str">
        <f>'Avail List'!B339</f>
        <v>BX8</v>
      </c>
      <c r="E330" s="77" t="str">
        <f>'Avail List'!C339</f>
        <v>435ML</v>
      </c>
      <c r="F330" s="75" t="str">
        <f>'Avail List'!D339</f>
        <v>KURA ORGANIC</v>
      </c>
      <c r="I330" s="78">
        <f>'Avail List'!I339</f>
        <v>42.4</v>
      </c>
      <c r="J330" s="75">
        <f>'Avail List'!J339</f>
        <v>0</v>
      </c>
      <c r="K330" s="76" t="s">
        <v>1212</v>
      </c>
    </row>
    <row r="331" spans="1:11" x14ac:dyDescent="0.25">
      <c r="A331" s="76" t="str">
        <f>'Avail List'!E340</f>
        <v>01200104</v>
      </c>
      <c r="B331" s="75" t="s">
        <v>15</v>
      </c>
      <c r="C331" s="75" t="str">
        <f>'Avail List'!A340</f>
        <v>TAMARI SOY SAUCE 250ML</v>
      </c>
      <c r="D331" s="77" t="str">
        <f>'Avail List'!B340</f>
        <v>BX12</v>
      </c>
      <c r="E331" s="77" t="str">
        <f>'Avail List'!C340</f>
        <v>250ML</v>
      </c>
      <c r="F331" s="75" t="str">
        <f>'Avail List'!D340</f>
        <v>KURA ORGANIC</v>
      </c>
      <c r="I331" s="78">
        <f>'Avail List'!I340</f>
        <v>46.2</v>
      </c>
      <c r="J331" s="75">
        <f>'Avail List'!J340</f>
        <v>0</v>
      </c>
      <c r="K331" s="76" t="s">
        <v>1213</v>
      </c>
    </row>
    <row r="332" spans="1:11" x14ac:dyDescent="0.25">
      <c r="A332" s="76" t="str">
        <f>'Avail List'!E341</f>
        <v>01200103</v>
      </c>
      <c r="B332" s="75" t="s">
        <v>15</v>
      </c>
      <c r="C332" s="75" t="str">
        <f>'Avail List'!A341</f>
        <v>WHITE RICE VINEGAR 250ML</v>
      </c>
      <c r="D332" s="77" t="str">
        <f>'Avail List'!B341</f>
        <v>BX12</v>
      </c>
      <c r="E332" s="77" t="str">
        <f>'Avail List'!C341</f>
        <v>250ML</v>
      </c>
      <c r="F332" s="75" t="str">
        <f>'Avail List'!D341</f>
        <v>KURA ORGANIC</v>
      </c>
      <c r="I332" s="78">
        <f>'Avail List'!I341</f>
        <v>46.2</v>
      </c>
      <c r="J332" s="75">
        <f>'Avail List'!J341</f>
        <v>0</v>
      </c>
      <c r="K332" s="76" t="s">
        <v>1214</v>
      </c>
    </row>
    <row r="333" spans="1:11" x14ac:dyDescent="0.25">
      <c r="A333" s="76">
        <f>'Avail List'!E342</f>
        <v>0</v>
      </c>
      <c r="B333" s="75" t="s">
        <v>15</v>
      </c>
      <c r="C333" s="75" t="str">
        <f>'Avail List'!A342</f>
        <v>INTERNATIONAL FOODS</v>
      </c>
      <c r="D333" s="77">
        <f>'Avail List'!B342</f>
        <v>0</v>
      </c>
      <c r="E333" s="77">
        <f>'Avail List'!C342</f>
        <v>0</v>
      </c>
      <c r="F333" s="75">
        <f>'Avail List'!D342</f>
        <v>0</v>
      </c>
      <c r="I333" s="78">
        <f>'Avail List'!I342</f>
        <v>0</v>
      </c>
      <c r="J333" s="75">
        <f>'Avail List'!J342</f>
        <v>0</v>
      </c>
      <c r="K333" s="76" t="s">
        <v>1215</v>
      </c>
    </row>
    <row r="334" spans="1:11" x14ac:dyDescent="0.25">
      <c r="A334" s="76" t="str">
        <f>'Avail List'!E343</f>
        <v>01200102</v>
      </c>
      <c r="B334" s="75" t="s">
        <v>15</v>
      </c>
      <c r="C334" s="75" t="str">
        <f>'Avail List'!A343</f>
        <v>SUSHI NORI 28G</v>
      </c>
      <c r="D334" s="77" t="str">
        <f>'Avail List'!B343</f>
        <v>BX12</v>
      </c>
      <c r="E334" s="77" t="str">
        <f>'Avail List'!C343</f>
        <v>28G</v>
      </c>
      <c r="F334" s="75" t="str">
        <f>'Avail List'!D343</f>
        <v>KURA ORGANIC</v>
      </c>
      <c r="I334" s="78">
        <f>'Avail List'!I343</f>
        <v>41.7</v>
      </c>
      <c r="J334" s="75">
        <f>'Avail List'!J343</f>
        <v>0</v>
      </c>
      <c r="K334" s="76" t="s">
        <v>1216</v>
      </c>
    </row>
    <row r="335" spans="1:11" x14ac:dyDescent="0.25">
      <c r="A335" s="76" t="str">
        <f>'Avail List'!E344</f>
        <v>01200105</v>
      </c>
      <c r="B335" s="75" t="s">
        <v>15</v>
      </c>
      <c r="C335" s="75" t="str">
        <f>'Avail List'!A344</f>
        <v>MISO PASTE SHIRO 200G</v>
      </c>
      <c r="D335" s="77" t="str">
        <f>'Avail List'!B344</f>
        <v>BX12</v>
      </c>
      <c r="E335" s="77" t="str">
        <f>'Avail List'!C344</f>
        <v>200G</v>
      </c>
      <c r="F335" s="75" t="str">
        <f>'Avail List'!D344</f>
        <v>KURA ORGANIC</v>
      </c>
      <c r="I335" s="78">
        <f>'Avail List'!I344</f>
        <v>52.2</v>
      </c>
      <c r="J335" s="75">
        <f>'Avail List'!J344</f>
        <v>0</v>
      </c>
      <c r="K335" s="76" t="s">
        <v>1217</v>
      </c>
    </row>
    <row r="336" spans="1:11" x14ac:dyDescent="0.25">
      <c r="A336" s="76">
        <f>'Avail List'!E345</f>
        <v>0</v>
      </c>
      <c r="B336" s="75" t="s">
        <v>15</v>
      </c>
      <c r="C336" s="75" t="str">
        <f>'Avail List'!A345</f>
        <v>COCONUT PRODUCTS</v>
      </c>
      <c r="D336" s="77">
        <f>'Avail List'!B345</f>
        <v>0</v>
      </c>
      <c r="E336" s="77" t="str">
        <f>'Avail List'!C345</f>
        <v/>
      </c>
      <c r="F336" s="75" t="str">
        <f>'Avail List'!D345</f>
        <v/>
      </c>
      <c r="I336" s="78">
        <f>'Avail List'!I345</f>
        <v>0</v>
      </c>
      <c r="J336" s="75">
        <f>'Avail List'!J345</f>
        <v>0</v>
      </c>
      <c r="K336" s="76" t="s">
        <v>1218</v>
      </c>
    </row>
    <row r="337" spans="1:11" x14ac:dyDescent="0.25">
      <c r="A337" s="76" t="str">
        <f>'Avail List'!E346</f>
        <v>01200519</v>
      </c>
      <c r="B337" s="75" t="s">
        <v>15</v>
      </c>
      <c r="C337" s="75" t="str">
        <f>'Avail List'!A346</f>
        <v>COCONUT CREAM 400ML</v>
      </c>
      <c r="D337" s="77" t="str">
        <f>'Avail List'!B346</f>
        <v>BX12</v>
      </c>
      <c r="E337" s="77" t="str">
        <f>'Avail List'!C346</f>
        <v>400ML</v>
      </c>
      <c r="F337" s="75" t="str">
        <f>'Avail List'!D346</f>
        <v>CHEFS CHOICE</v>
      </c>
      <c r="I337" s="78">
        <f>'Avail List'!I346</f>
        <v>38</v>
      </c>
      <c r="J337" s="75">
        <f>'Avail List'!J346</f>
        <v>0</v>
      </c>
      <c r="K337" s="76" t="s">
        <v>1219</v>
      </c>
    </row>
    <row r="338" spans="1:11" x14ac:dyDescent="0.25">
      <c r="A338" s="76" t="str">
        <f>'Avail List'!E347</f>
        <v>01200520</v>
      </c>
      <c r="B338" s="75" t="s">
        <v>15</v>
      </c>
      <c r="C338" s="75" t="str">
        <f>'Avail List'!A347</f>
        <v>COCONUT MILK 400ML</v>
      </c>
      <c r="D338" s="77" t="str">
        <f>'Avail List'!B347</f>
        <v>BX12</v>
      </c>
      <c r="E338" s="77" t="str">
        <f>'Avail List'!C347</f>
        <v>400ML</v>
      </c>
      <c r="F338" s="75" t="str">
        <f>'Avail List'!D347</f>
        <v>CHEFS CHOICE</v>
      </c>
      <c r="I338" s="78">
        <f>'Avail List'!I347</f>
        <v>28</v>
      </c>
      <c r="J338" s="75">
        <f>'Avail List'!J347</f>
        <v>0</v>
      </c>
      <c r="K338" s="76" t="s">
        <v>1220</v>
      </c>
    </row>
    <row r="339" spans="1:11" x14ac:dyDescent="0.25">
      <c r="A339" s="76" t="str">
        <f>'Avail List'!E348</f>
        <v>01200652</v>
      </c>
      <c r="B339" s="75" t="s">
        <v>15</v>
      </c>
      <c r="C339" s="75" t="str">
        <f>'Avail List'!A348</f>
        <v>COCONUT MILK 400ML</v>
      </c>
      <c r="D339" s="77" t="str">
        <f>'Avail List'!B348</f>
        <v>BX6</v>
      </c>
      <c r="E339" s="77" t="str">
        <f>'Avail List'!C348</f>
        <v>400ML</v>
      </c>
      <c r="F339" s="75" t="str">
        <f>'Avail List'!D348</f>
        <v>BLISSFUL ORGANIC</v>
      </c>
      <c r="I339" s="78">
        <f>'Avail List'!I348</f>
        <v>15.6</v>
      </c>
      <c r="J339" s="75">
        <f>'Avail List'!J348</f>
        <v>0</v>
      </c>
      <c r="K339" s="76" t="s">
        <v>1221</v>
      </c>
    </row>
    <row r="340" spans="1:11" x14ac:dyDescent="0.25">
      <c r="A340" s="76" t="str">
        <f>'Avail List'!E349</f>
        <v>01200653</v>
      </c>
      <c r="B340" s="75" t="s">
        <v>15</v>
      </c>
      <c r="C340" s="75" t="str">
        <f>'Avail List'!A349</f>
        <v>COCONUT CREAM 400ML</v>
      </c>
      <c r="D340" s="77" t="str">
        <f>'Avail List'!B349</f>
        <v>BX6</v>
      </c>
      <c r="E340" s="77" t="str">
        <f>'Avail List'!C349</f>
        <v>400ML</v>
      </c>
      <c r="F340" s="75" t="str">
        <f>'Avail List'!D349</f>
        <v>BLISSFUL ORGANIC</v>
      </c>
      <c r="I340" s="78">
        <f>'Avail List'!I349</f>
        <v>16.600000000000001</v>
      </c>
      <c r="J340" s="75">
        <f>'Avail List'!J349</f>
        <v>0</v>
      </c>
      <c r="K340" s="76" t="s">
        <v>1222</v>
      </c>
    </row>
    <row r="341" spans="1:11" x14ac:dyDescent="0.25">
      <c r="A341" s="76" t="str">
        <f>'Avail List'!E350</f>
        <v>01200654</v>
      </c>
      <c r="B341" s="75" t="s">
        <v>15</v>
      </c>
      <c r="C341" s="75" t="str">
        <f>'Avail List'!A350</f>
        <v>COCONUT MILK - LIGHT 400ML</v>
      </c>
      <c r="D341" s="77" t="str">
        <f>'Avail List'!B350</f>
        <v>BX6</v>
      </c>
      <c r="E341" s="77" t="str">
        <f>'Avail List'!C350</f>
        <v>400ML</v>
      </c>
      <c r="F341" s="75" t="str">
        <f>'Avail List'!D350</f>
        <v>BLISSFUL ORGANIC</v>
      </c>
      <c r="I341" s="78">
        <f>'Avail List'!I350</f>
        <v>11</v>
      </c>
      <c r="J341" s="75">
        <f>'Avail List'!J350</f>
        <v>0</v>
      </c>
      <c r="K341" s="76" t="s">
        <v>1223</v>
      </c>
    </row>
    <row r="342" spans="1:11" x14ac:dyDescent="0.25">
      <c r="A342" s="76" t="str">
        <f>'Avail List'!E351</f>
        <v>01200655</v>
      </c>
      <c r="B342" s="75" t="s">
        <v>15</v>
      </c>
      <c r="C342" s="75" t="str">
        <f>'Avail List'!A351</f>
        <v>CONDENSED COCONUT MILK 200ML</v>
      </c>
      <c r="D342" s="77" t="str">
        <f>'Avail List'!B351</f>
        <v>BX6</v>
      </c>
      <c r="E342" s="77" t="str">
        <f>'Avail List'!C351</f>
        <v>200ML</v>
      </c>
      <c r="F342" s="75" t="str">
        <f>'Avail List'!D351</f>
        <v>BLISSFUL ORGANIC</v>
      </c>
      <c r="I342" s="78">
        <f>'Avail List'!I351</f>
        <v>14.2</v>
      </c>
      <c r="J342" s="75">
        <f>'Avail List'!J351</f>
        <v>0</v>
      </c>
      <c r="K342" s="76" t="s">
        <v>1224</v>
      </c>
    </row>
    <row r="343" spans="1:11" x14ac:dyDescent="0.25">
      <c r="A343" s="76" t="str">
        <f>'Avail List'!E352</f>
        <v>01200546</v>
      </c>
      <c r="B343" s="75" t="s">
        <v>15</v>
      </c>
      <c r="C343" s="75" t="str">
        <f>'Avail List'!A352</f>
        <v>COCONUT FLOUR 500G</v>
      </c>
      <c r="D343" s="77" t="str">
        <f>'Avail List'!B352</f>
        <v>BX10</v>
      </c>
      <c r="E343" s="77" t="str">
        <f>'Avail List'!C352</f>
        <v>500G</v>
      </c>
      <c r="F343" s="75" t="str">
        <f>'Avail List'!D352</f>
        <v>CHEFS CHOICE</v>
      </c>
      <c r="I343" s="78">
        <f>'Avail List'!I352</f>
        <v>40</v>
      </c>
      <c r="J343" s="75">
        <f>'Avail List'!J352</f>
        <v>0</v>
      </c>
      <c r="K343" s="76" t="s">
        <v>1225</v>
      </c>
    </row>
    <row r="344" spans="1:11" x14ac:dyDescent="0.25">
      <c r="A344" s="76">
        <f>'Avail List'!E353</f>
        <v>0</v>
      </c>
      <c r="B344" s="75" t="s">
        <v>15</v>
      </c>
      <c r="C344" s="75" t="str">
        <f>'Avail List'!A353</f>
        <v>WATER &amp; JUICE</v>
      </c>
      <c r="D344" s="77">
        <f>'Avail List'!B353</f>
        <v>0</v>
      </c>
      <c r="E344" s="77" t="str">
        <f>'Avail List'!C353</f>
        <v/>
      </c>
      <c r="F344" s="75" t="str">
        <f>'Avail List'!D353</f>
        <v/>
      </c>
      <c r="I344" s="78">
        <f>'Avail List'!I353</f>
        <v>0</v>
      </c>
      <c r="J344" s="75">
        <f>'Avail List'!J353</f>
        <v>0</v>
      </c>
      <c r="K344" s="76" t="s">
        <v>1226</v>
      </c>
    </row>
    <row r="345" spans="1:11" x14ac:dyDescent="0.25">
      <c r="A345" s="76" t="str">
        <f>'Avail List'!E354</f>
        <v>01202100</v>
      </c>
      <c r="B345" s="75" t="s">
        <v>15</v>
      </c>
      <c r="C345" s="75" t="str">
        <f>'Avail List'!A354</f>
        <v>COCONUT WATER - ACAI</v>
      </c>
      <c r="D345" s="77" t="str">
        <f>'Avail List'!B354</f>
        <v>BX12</v>
      </c>
      <c r="E345" s="77" t="str">
        <f>'Avail List'!C354</f>
        <v>12X355ML</v>
      </c>
      <c r="F345" s="75" t="str">
        <f>'Avail List'!D354</f>
        <v>COCO SOUL</v>
      </c>
      <c r="I345" s="78">
        <f>'Avail List'!I354</f>
        <v>32</v>
      </c>
      <c r="J345" s="75">
        <f>'Avail List'!J354</f>
        <v>0</v>
      </c>
      <c r="K345" s="76" t="s">
        <v>1227</v>
      </c>
    </row>
    <row r="346" spans="1:11" x14ac:dyDescent="0.25">
      <c r="A346" s="76" t="str">
        <f>'Avail List'!E355</f>
        <v>04181573</v>
      </c>
      <c r="B346" s="75" t="s">
        <v>15</v>
      </c>
      <c r="C346" s="75" t="str">
        <f>'Avail List'!A355</f>
        <v>CHOCOLATE WATER COCONUT 1L</v>
      </c>
      <c r="D346" s="77" t="str">
        <f>'Avail List'!B355</f>
        <v>BX8</v>
      </c>
      <c r="E346" s="77" t="str">
        <f>'Avail List'!C355</f>
        <v>1L</v>
      </c>
      <c r="F346" s="75" t="str">
        <f>'Avail List'!D355</f>
        <v>CHEFS CHOICE</v>
      </c>
      <c r="I346" s="78">
        <f>'Avail List'!I355</f>
        <v>35</v>
      </c>
      <c r="J346" s="75">
        <f>'Avail List'!J355</f>
        <v>0</v>
      </c>
      <c r="K346" s="76" t="s">
        <v>1228</v>
      </c>
    </row>
    <row r="347" spans="1:11" x14ac:dyDescent="0.25">
      <c r="A347" s="76" t="str">
        <f>'Avail List'!E356</f>
        <v>04181571</v>
      </c>
      <c r="B347" s="75" t="s">
        <v>15</v>
      </c>
      <c r="C347" s="75" t="str">
        <f>'Avail List'!A356</f>
        <v>WATER COCONUT 1L</v>
      </c>
      <c r="D347" s="77" t="str">
        <f>'Avail List'!B356</f>
        <v>BX8</v>
      </c>
      <c r="E347" s="77" t="str">
        <f>'Avail List'!C356</f>
        <v>1L</v>
      </c>
      <c r="F347" s="75" t="str">
        <f>'Avail List'!D356</f>
        <v>CHEFS CHOICE</v>
      </c>
      <c r="I347" s="78">
        <f>'Avail List'!I356</f>
        <v>32</v>
      </c>
      <c r="J347" s="75">
        <f>'Avail List'!J356</f>
        <v>0</v>
      </c>
      <c r="K347" s="76" t="s">
        <v>1229</v>
      </c>
    </row>
    <row r="348" spans="1:11" x14ac:dyDescent="0.25">
      <c r="A348" s="76" t="str">
        <f>'Avail List'!E357</f>
        <v>04181572</v>
      </c>
      <c r="B348" s="75" t="s">
        <v>15</v>
      </c>
      <c r="C348" s="75" t="str">
        <f>'Avail List'!A357</f>
        <v>WATER COCONUT 330ML</v>
      </c>
      <c r="D348" s="77" t="str">
        <f>'Avail List'!B357</f>
        <v>BX</v>
      </c>
      <c r="E348" s="77" t="str">
        <f>'Avail List'!C357</f>
        <v>24 X 330ML</v>
      </c>
      <c r="F348" s="75" t="str">
        <f>'Avail List'!D357</f>
        <v>CHEFS CHOICE</v>
      </c>
      <c r="I348" s="78">
        <f>'Avail List'!I357</f>
        <v>38.9</v>
      </c>
      <c r="J348" s="75">
        <f>'Avail List'!J357</f>
        <v>0</v>
      </c>
      <c r="K348" s="76" t="s">
        <v>1230</v>
      </c>
    </row>
    <row r="349" spans="1:11" x14ac:dyDescent="0.25">
      <c r="A349" s="76" t="str">
        <f>'Avail List'!E358</f>
        <v>01200529</v>
      </c>
      <c r="B349" s="75" t="s">
        <v>15</v>
      </c>
      <c r="C349" s="75" t="str">
        <f>'Avail List'!A358</f>
        <v>JUICE POMEGRANATE 750ML</v>
      </c>
      <c r="D349" s="77" t="str">
        <f>'Avail List'!B358</f>
        <v>BX6</v>
      </c>
      <c r="E349" s="77" t="str">
        <f>'Avail List'!C358</f>
        <v>750ML</v>
      </c>
      <c r="F349" s="75" t="str">
        <f>'Avail List'!D358</f>
        <v>CHEFS CHOICE</v>
      </c>
      <c r="I349" s="78">
        <f>'Avail List'!I358</f>
        <v>37.799999999999997</v>
      </c>
      <c r="J349" s="75">
        <f>'Avail List'!J358</f>
        <v>0</v>
      </c>
      <c r="K349" s="76" t="s">
        <v>1231</v>
      </c>
    </row>
    <row r="350" spans="1:11" x14ac:dyDescent="0.25">
      <c r="A350" s="76" t="str">
        <f>'Avail List'!E359</f>
        <v>JUAPP1FRS</v>
      </c>
      <c r="B350" s="75" t="s">
        <v>15</v>
      </c>
      <c r="C350" s="75" t="str">
        <f>'Avail List'!A359</f>
        <v>JUICE APPLE (BOTTLE) 1L</v>
      </c>
      <c r="D350" s="77" t="str">
        <f>'Avail List'!B359</f>
        <v>BX6</v>
      </c>
      <c r="E350" s="77" t="str">
        <f>'Avail List'!C359</f>
        <v>1L</v>
      </c>
      <c r="F350" s="75" t="str">
        <f>'Avail List'!D359</f>
        <v>FOREST ORCHARDS</v>
      </c>
      <c r="I350" s="78">
        <f>'Avail List'!I359</f>
        <v>45</v>
      </c>
      <c r="J350" s="75">
        <f>'Avail List'!J359</f>
        <v>0</v>
      </c>
      <c r="K350" s="76" t="s">
        <v>1232</v>
      </c>
    </row>
    <row r="351" spans="1:11" x14ac:dyDescent="0.25">
      <c r="A351" s="76" t="str">
        <f>'Avail List'!E360</f>
        <v>JUPSPK350FRS</v>
      </c>
      <c r="B351" s="75" t="s">
        <v>15</v>
      </c>
      <c r="C351" s="75" t="str">
        <f>'Avail List'!A360</f>
        <v>JUICE PEAR SPARKLING</v>
      </c>
      <c r="D351" s="77" t="str">
        <f>'Avail List'!B360</f>
        <v>BX24</v>
      </c>
      <c r="E351" s="77" t="str">
        <f>'Avail List'!C360</f>
        <v>330ML</v>
      </c>
      <c r="F351" s="75" t="str">
        <f>'Avail List'!D360</f>
        <v>FOREST ORCHARDS</v>
      </c>
      <c r="I351" s="78">
        <f>'Avail List'!I360</f>
        <v>110</v>
      </c>
      <c r="J351" s="75">
        <f>'Avail List'!J360</f>
        <v>0</v>
      </c>
      <c r="K351" s="76" t="s">
        <v>1233</v>
      </c>
    </row>
    <row r="352" spans="1:11" x14ac:dyDescent="0.25">
      <c r="A352" s="76" t="str">
        <f>'Avail List'!E361</f>
        <v>01200543</v>
      </c>
      <c r="B352" s="75" t="s">
        <v>15</v>
      </c>
      <c r="C352" s="75" t="str">
        <f>'Avail List'!A361</f>
        <v>JUICE LIME SQUEEZE 125ML</v>
      </c>
      <c r="D352" s="77" t="str">
        <f>'Avail List'!B361</f>
        <v>BX12</v>
      </c>
      <c r="E352" s="77" t="str">
        <f>'Avail List'!C361</f>
        <v>125ML</v>
      </c>
      <c r="F352" s="75" t="str">
        <f>'Avail List'!D361</f>
        <v>CHEFS CHOICE</v>
      </c>
      <c r="I352" s="78">
        <f>'Avail List'!I361</f>
        <v>30</v>
      </c>
      <c r="J352" s="75">
        <f>'Avail List'!J361</f>
        <v>0</v>
      </c>
      <c r="K352" s="76" t="s">
        <v>1234</v>
      </c>
    </row>
    <row r="353" spans="1:11" x14ac:dyDescent="0.25">
      <c r="A353" s="76" t="str">
        <f>'Avail List'!E362</f>
        <v>01200542</v>
      </c>
      <c r="B353" s="75" t="s">
        <v>15</v>
      </c>
      <c r="C353" s="75" t="str">
        <f>'Avail List'!A362</f>
        <v>JUICE LEMON SQUEEZE 125ML</v>
      </c>
      <c r="D353" s="77" t="str">
        <f>'Avail List'!B362</f>
        <v>BX12</v>
      </c>
      <c r="E353" s="77" t="str">
        <f>'Avail List'!C362</f>
        <v>125ML</v>
      </c>
      <c r="F353" s="75" t="str">
        <f>'Avail List'!D362</f>
        <v>CHEFS CHOICE</v>
      </c>
      <c r="I353" s="78">
        <f>'Avail List'!I362</f>
        <v>30</v>
      </c>
      <c r="J353" s="75">
        <f>'Avail List'!J362</f>
        <v>0</v>
      </c>
      <c r="K353" s="76" t="s">
        <v>1235</v>
      </c>
    </row>
    <row r="354" spans="1:11" x14ac:dyDescent="0.25">
      <c r="A354" s="76" t="str">
        <f>'Avail List'!E363</f>
        <v>01200910</v>
      </c>
      <c r="B354" s="75" t="s">
        <v>15</v>
      </c>
      <c r="C354" s="75" t="str">
        <f>'Avail List'!A363</f>
        <v>HYDROGEN WATER 250ML</v>
      </c>
      <c r="D354" s="77" t="str">
        <f>'Avail List'!B363</f>
        <v>BX24</v>
      </c>
      <c r="E354" s="77" t="str">
        <f>'Avail List'!C363</f>
        <v>250ML</v>
      </c>
      <c r="F354" s="75" t="str">
        <f>'Avail List'!D363</f>
        <v>HYRDOGEN WATER CO</v>
      </c>
      <c r="I354" s="78">
        <f>'Avail List'!I363</f>
        <v>56</v>
      </c>
      <c r="J354" s="75">
        <f>'Avail List'!J363</f>
        <v>0</v>
      </c>
      <c r="K354" s="76" t="s">
        <v>1236</v>
      </c>
    </row>
    <row r="355" spans="1:11" x14ac:dyDescent="0.25">
      <c r="A355" s="76" t="str">
        <f>'Avail List'!E364</f>
        <v>01202002</v>
      </c>
      <c r="B355" s="75" t="s">
        <v>15</v>
      </c>
      <c r="C355" s="75" t="str">
        <f>'Avail List'!A364</f>
        <v>ORIGINAL SPARKLING PROBIOTIC LIVE KEFIR 330ML (Not Certified Organic)</v>
      </c>
      <c r="D355" s="77" t="str">
        <f>'Avail List'!B364</f>
        <v>BX12</v>
      </c>
      <c r="E355" s="77" t="str">
        <f>'Avail List'!C364</f>
        <v>330ML</v>
      </c>
      <c r="F355" s="75" t="str">
        <f>'Avail List'!D364</f>
        <v>YOGI NECTAR PROBIOTIC</v>
      </c>
      <c r="I355" s="78">
        <f>'Avail List'!I364</f>
        <v>49.6</v>
      </c>
      <c r="J355" s="75">
        <f>'Avail List'!J364</f>
        <v>0</v>
      </c>
      <c r="K355" s="76" t="s">
        <v>1237</v>
      </c>
    </row>
    <row r="356" spans="1:11" x14ac:dyDescent="0.25">
      <c r="A356" s="76" t="str">
        <f>'Avail List'!E365</f>
        <v>01202003</v>
      </c>
      <c r="B356" s="75" t="s">
        <v>15</v>
      </c>
      <c r="C356" s="75" t="str">
        <f>'Avail List'!A365</f>
        <v>LIME SPARKLING PROBIOTIC LIVE KEFIR 330ML (Not Certified Organic)</v>
      </c>
      <c r="D356" s="77" t="str">
        <f>'Avail List'!B365</f>
        <v>BX12</v>
      </c>
      <c r="E356" s="77" t="str">
        <f>'Avail List'!C365</f>
        <v>330ML</v>
      </c>
      <c r="F356" s="75" t="str">
        <f>'Avail List'!D365</f>
        <v>YOGI NECTAR PROBIOTIC</v>
      </c>
      <c r="I356" s="78">
        <f>'Avail List'!I365</f>
        <v>49.6</v>
      </c>
      <c r="J356" s="75" t="str">
        <f>'Avail List'!J365</f>
        <v>LANDING WEDNESDAY</v>
      </c>
      <c r="K356" s="76" t="s">
        <v>1238</v>
      </c>
    </row>
    <row r="357" spans="1:11" x14ac:dyDescent="0.25">
      <c r="A357" s="76" t="str">
        <f>'Avail List'!E366</f>
        <v>01202004</v>
      </c>
      <c r="B357" s="75" t="s">
        <v>15</v>
      </c>
      <c r="C357" s="75" t="str">
        <f>'Avail List'!A366</f>
        <v>CITRUS SPARKLING PROBIOTIC LIVE KEFIR 330ML (Not Certified Organic)</v>
      </c>
      <c r="D357" s="77" t="str">
        <f>'Avail List'!B366</f>
        <v>BX12</v>
      </c>
      <c r="E357" s="77" t="str">
        <f>'Avail List'!C366</f>
        <v>330ML</v>
      </c>
      <c r="F357" s="75" t="str">
        <f>'Avail List'!D366</f>
        <v>YOGI NECTAR PROBIOTIC</v>
      </c>
      <c r="I357" s="78">
        <f>'Avail List'!I366</f>
        <v>49.6</v>
      </c>
      <c r="J357" s="75">
        <f>'Avail List'!J366</f>
        <v>0</v>
      </c>
      <c r="K357" s="76" t="s">
        <v>1239</v>
      </c>
    </row>
    <row r="358" spans="1:11" x14ac:dyDescent="0.25">
      <c r="A358" s="76" t="str">
        <f>'Avail List'!E367</f>
        <v>01202005</v>
      </c>
      <c r="B358" s="75" t="s">
        <v>15</v>
      </c>
      <c r="C358" s="75" t="str">
        <f>'Avail List'!A367</f>
        <v>ORIGINAL SPARKLING PROBIOTIC LIVE KEFIR 750ML (Not Certified Organic)</v>
      </c>
      <c r="D358" s="77" t="str">
        <f>'Avail List'!B367</f>
        <v>BX6</v>
      </c>
      <c r="E358" s="77" t="str">
        <f>'Avail List'!C367</f>
        <v>750ML</v>
      </c>
      <c r="F358" s="75" t="str">
        <f>'Avail List'!D367</f>
        <v>YOGI NECTAR PROBIOTIC</v>
      </c>
      <c r="I358" s="78">
        <f>'Avail List'!I367</f>
        <v>56</v>
      </c>
      <c r="J358" s="75">
        <f>'Avail List'!J367</f>
        <v>0</v>
      </c>
      <c r="K358" s="76" t="s">
        <v>1240</v>
      </c>
    </row>
    <row r="359" spans="1:11" x14ac:dyDescent="0.25">
      <c r="A359" s="76" t="str">
        <f>'Avail List'!E368</f>
        <v>01202006</v>
      </c>
      <c r="B359" s="75" t="s">
        <v>15</v>
      </c>
      <c r="C359" s="75" t="str">
        <f>'Avail List'!A368</f>
        <v>LIME SPARKLING PROBIOTIC LIVE KEFIR 750ML (Not Certified Organic)</v>
      </c>
      <c r="D359" s="77" t="str">
        <f>'Avail List'!B368</f>
        <v>BX6</v>
      </c>
      <c r="E359" s="77" t="str">
        <f>'Avail List'!C368</f>
        <v>750ML</v>
      </c>
      <c r="F359" s="75" t="str">
        <f>'Avail List'!D368</f>
        <v>YOGI NECTAR PROBIOTIC</v>
      </c>
      <c r="I359" s="78">
        <f>'Avail List'!I368</f>
        <v>56</v>
      </c>
      <c r="J359" s="75">
        <f>'Avail List'!J368</f>
        <v>0</v>
      </c>
      <c r="K359" s="76" t="s">
        <v>1241</v>
      </c>
    </row>
    <row r="360" spans="1:11" x14ac:dyDescent="0.25">
      <c r="A360" s="76" t="str">
        <f>'Avail List'!E369</f>
        <v>01202007</v>
      </c>
      <c r="B360" s="75" t="s">
        <v>15</v>
      </c>
      <c r="C360" s="75" t="str">
        <f>'Avail List'!A369</f>
        <v>CITRUS SPARKLING PROBIOTIC LIVE KEFIR 750ML (Not Certified Organic)</v>
      </c>
      <c r="D360" s="77" t="str">
        <f>'Avail List'!B369</f>
        <v>BX6</v>
      </c>
      <c r="E360" s="77" t="str">
        <f>'Avail List'!C369</f>
        <v>750ML</v>
      </c>
      <c r="F360" s="75" t="str">
        <f>'Avail List'!D369</f>
        <v>YOGI NECTAR PROBIOTIC</v>
      </c>
      <c r="I360" s="78">
        <f>'Avail List'!I369</f>
        <v>56</v>
      </c>
      <c r="J360" s="75">
        <f>'Avail List'!J369</f>
        <v>0</v>
      </c>
      <c r="K360" s="76" t="s">
        <v>1242</v>
      </c>
    </row>
    <row r="361" spans="1:11" x14ac:dyDescent="0.25">
      <c r="A361" s="76">
        <f>'Avail List'!E370</f>
        <v>0</v>
      </c>
      <c r="B361" s="75" t="s">
        <v>15</v>
      </c>
      <c r="C361" s="75" t="str">
        <f>'Avail List'!A370</f>
        <v>SEASONINGS</v>
      </c>
      <c r="D361" s="77">
        <f>'Avail List'!B370</f>
        <v>0</v>
      </c>
      <c r="E361" s="77" t="str">
        <f>'Avail List'!C370</f>
        <v/>
      </c>
      <c r="F361" s="75" t="str">
        <f>'Avail List'!D370</f>
        <v/>
      </c>
      <c r="I361" s="78">
        <f>'Avail List'!I370</f>
        <v>0</v>
      </c>
      <c r="J361" s="75">
        <f>'Avail List'!J370</f>
        <v>0</v>
      </c>
      <c r="K361" s="76" t="s">
        <v>1243</v>
      </c>
    </row>
    <row r="362" spans="1:11" x14ac:dyDescent="0.25">
      <c r="A362" s="76" t="str">
        <f>'Avail List'!E371</f>
        <v>01200525</v>
      </c>
      <c r="B362" s="75" t="s">
        <v>15</v>
      </c>
      <c r="C362" s="75" t="str">
        <f>'Avail List'!A371</f>
        <v>SALT CELTIC SEA 500G (Not Organic)</v>
      </c>
      <c r="D362" s="77" t="str">
        <f>'Avail List'!B371</f>
        <v>BX10</v>
      </c>
      <c r="E362" s="77" t="str">
        <f>'Avail List'!C371</f>
        <v>500G</v>
      </c>
      <c r="F362" s="75" t="str">
        <f>'Avail List'!D371</f>
        <v>CHEFS CHOICE</v>
      </c>
      <c r="I362" s="78">
        <f>'Avail List'!I371</f>
        <v>72</v>
      </c>
      <c r="J362" s="75">
        <f>'Avail List'!J371</f>
        <v>0</v>
      </c>
      <c r="K362" s="76" t="s">
        <v>1244</v>
      </c>
    </row>
    <row r="363" spans="1:11" x14ac:dyDescent="0.25">
      <c r="A363" s="76">
        <f>'Avail List'!E372</f>
        <v>0</v>
      </c>
      <c r="B363" s="75" t="s">
        <v>15</v>
      </c>
      <c r="C363" s="75" t="str">
        <f>'Avail List'!A372</f>
        <v>OIL</v>
      </c>
      <c r="D363" s="77">
        <f>'Avail List'!B372</f>
        <v>0</v>
      </c>
      <c r="E363" s="77" t="str">
        <f>'Avail List'!C372</f>
        <v/>
      </c>
      <c r="F363" s="75" t="str">
        <f>'Avail List'!D372</f>
        <v/>
      </c>
      <c r="I363" s="78">
        <f>'Avail List'!I372</f>
        <v>0</v>
      </c>
      <c r="J363" s="75">
        <f>'Avail List'!J372</f>
        <v>0</v>
      </c>
      <c r="K363" s="76" t="s">
        <v>1245</v>
      </c>
    </row>
    <row r="364" spans="1:11" x14ac:dyDescent="0.25">
      <c r="A364" s="76" t="str">
        <f>'Avail List'!E373</f>
        <v>01200552</v>
      </c>
      <c r="B364" s="75" t="s">
        <v>15</v>
      </c>
      <c r="C364" s="75" t="str">
        <f>'Avail List'!A373</f>
        <v xml:space="preserve">OIL COCONUT EX VIRGIN </v>
      </c>
      <c r="D364" s="77" t="str">
        <f>'Avail List'!B373</f>
        <v>BX6</v>
      </c>
      <c r="E364" s="77" t="str">
        <f>'Avail List'!C373</f>
        <v>915ML</v>
      </c>
      <c r="F364" s="75" t="str">
        <f>'Avail List'!D373</f>
        <v>CHEFS CHOICE</v>
      </c>
      <c r="I364" s="78">
        <f>'Avail List'!I373</f>
        <v>120</v>
      </c>
      <c r="J364" s="75">
        <f>'Avail List'!J373</f>
        <v>0</v>
      </c>
      <c r="K364" s="76" t="s">
        <v>1246</v>
      </c>
    </row>
    <row r="365" spans="1:11" x14ac:dyDescent="0.25">
      <c r="A365" s="76" t="str">
        <f>'Avail List'!E374</f>
        <v>01200521</v>
      </c>
      <c r="B365" s="75" t="s">
        <v>15</v>
      </c>
      <c r="C365" s="75" t="str">
        <f>'Avail List'!A374</f>
        <v xml:space="preserve">OIL COCONUT PURIFIED </v>
      </c>
      <c r="D365" s="77" t="str">
        <f>'Avail List'!B374</f>
        <v>BX6</v>
      </c>
      <c r="E365" s="77" t="str">
        <f>'Avail List'!C374</f>
        <v>915ML</v>
      </c>
      <c r="F365" s="75" t="str">
        <f>'Avail List'!D374</f>
        <v>CHEFS CHOICE</v>
      </c>
      <c r="I365" s="78">
        <f>'Avail List'!I374</f>
        <v>75</v>
      </c>
      <c r="J365" s="75">
        <f>'Avail List'!J374</f>
        <v>0</v>
      </c>
      <c r="K365" s="76" t="s">
        <v>1247</v>
      </c>
    </row>
    <row r="366" spans="1:11" x14ac:dyDescent="0.25">
      <c r="A366" s="76" t="str">
        <f>'Avail List'!E375</f>
        <v>01200522</v>
      </c>
      <c r="B366" s="75" t="s">
        <v>15</v>
      </c>
      <c r="C366" s="75" t="str">
        <f>'Avail List'!A375</f>
        <v>OIL E/VIRGIN THREE OLIVES 1L</v>
      </c>
      <c r="D366" s="77" t="str">
        <f>'Avail List'!B375</f>
        <v>BX6</v>
      </c>
      <c r="E366" s="77" t="str">
        <f>'Avail List'!C375</f>
        <v>1L</v>
      </c>
      <c r="F366" s="75" t="str">
        <f>'Avail List'!D375</f>
        <v>CHEFS CHOICE</v>
      </c>
      <c r="I366" s="78">
        <f>'Avail List'!I375</f>
        <v>180</v>
      </c>
      <c r="J366" s="75">
        <f>'Avail List'!J375</f>
        <v>0</v>
      </c>
      <c r="K366" s="76" t="s">
        <v>1248</v>
      </c>
    </row>
    <row r="367" spans="1:11" x14ac:dyDescent="0.25">
      <c r="A367" s="76" t="str">
        <f>'Avail List'!E376</f>
        <v>01200531</v>
      </c>
      <c r="B367" s="75" t="s">
        <v>15</v>
      </c>
      <c r="C367" s="75" t="str">
        <f>'Avail List'!A376</f>
        <v>OIL E/VIRGIN THREE OLIVES 3L</v>
      </c>
      <c r="D367" s="77" t="str">
        <f>'Avail List'!B376</f>
        <v>BX4</v>
      </c>
      <c r="E367" s="77" t="str">
        <f>'Avail List'!C376</f>
        <v>3L</v>
      </c>
      <c r="F367" s="75" t="str">
        <f>'Avail List'!D376</f>
        <v>CHEFS CHOICE</v>
      </c>
      <c r="I367" s="78">
        <f>'Avail List'!I376</f>
        <v>290</v>
      </c>
      <c r="J367" s="75">
        <f>'Avail List'!J376</f>
        <v>0</v>
      </c>
      <c r="K367" s="76" t="s">
        <v>1249</v>
      </c>
    </row>
    <row r="368" spans="1:11" x14ac:dyDescent="0.25">
      <c r="A368" s="76" t="str">
        <f>'Avail List'!E377</f>
        <v>EXTRAS &amp; WISHLIST</v>
      </c>
      <c r="B368" s="75" t="s">
        <v>15</v>
      </c>
      <c r="C368" s="75">
        <f>'Avail List'!A377</f>
        <v>0</v>
      </c>
      <c r="D368" s="77">
        <f>'Avail List'!B377</f>
        <v>0</v>
      </c>
      <c r="E368" s="77">
        <f>'Avail List'!C377</f>
        <v>0</v>
      </c>
      <c r="F368" s="75">
        <f>'Avail List'!D377</f>
        <v>0</v>
      </c>
      <c r="I368" s="78">
        <f>'Avail List'!I377</f>
        <v>0</v>
      </c>
      <c r="J368" s="75">
        <f>'Avail List'!J377</f>
        <v>0</v>
      </c>
      <c r="K368" s="76" t="s">
        <v>1250</v>
      </c>
    </row>
    <row r="369" spans="1:11" x14ac:dyDescent="0.25">
      <c r="A369" s="76" t="str">
        <f>'Avail List'!E378</f>
        <v>CODE</v>
      </c>
      <c r="B369" s="75" t="s">
        <v>15</v>
      </c>
      <c r="C369" s="75" t="str">
        <f>'Avail List'!A378</f>
        <v>PRODUCT</v>
      </c>
      <c r="D369" s="77" t="str">
        <f>'Avail List'!B378</f>
        <v>SIZE</v>
      </c>
      <c r="E369" s="77">
        <f>'Avail List'!C378</f>
        <v>0</v>
      </c>
      <c r="F369" s="75" t="str">
        <f>'Avail List'!D378</f>
        <v>GROWER</v>
      </c>
      <c r="I369" s="78" t="str">
        <f>'Avail List'!I378</f>
        <v>PRICE</v>
      </c>
      <c r="J369" s="75" t="str">
        <f>'Avail List'!J378</f>
        <v>COMMENTS / SPECIFIC REQUESTS</v>
      </c>
      <c r="K369" s="76" t="s">
        <v>1251</v>
      </c>
    </row>
    <row r="370" spans="1:11" x14ac:dyDescent="0.25">
      <c r="A370" s="76">
        <f>'Avail List'!E379</f>
        <v>0</v>
      </c>
      <c r="B370" s="75" t="s">
        <v>15</v>
      </c>
      <c r="C370" s="75">
        <f>'Avail List'!A379</f>
        <v>0</v>
      </c>
      <c r="D370" s="77">
        <f>'Avail List'!B379</f>
        <v>0</v>
      </c>
      <c r="E370" s="77">
        <f>'Avail List'!C379</f>
        <v>0</v>
      </c>
      <c r="F370" s="75">
        <f>'Avail List'!D379</f>
        <v>0</v>
      </c>
      <c r="I370" s="78">
        <f>'Avail List'!I379</f>
        <v>0</v>
      </c>
      <c r="J370" s="75">
        <f>'Avail List'!J379</f>
        <v>0</v>
      </c>
      <c r="K370" s="76" t="s">
        <v>1252</v>
      </c>
    </row>
    <row r="371" spans="1:11" x14ac:dyDescent="0.25">
      <c r="A371" s="76">
        <f>'Avail List'!E380</f>
        <v>0</v>
      </c>
      <c r="B371" s="75" t="s">
        <v>15</v>
      </c>
      <c r="C371" s="75">
        <f>'Avail List'!A380</f>
        <v>0</v>
      </c>
      <c r="D371" s="77">
        <f>'Avail List'!B380</f>
        <v>0</v>
      </c>
      <c r="E371" s="77">
        <f>'Avail List'!C380</f>
        <v>0</v>
      </c>
      <c r="F371" s="75">
        <f>'Avail List'!D380</f>
        <v>0</v>
      </c>
      <c r="I371" s="78">
        <f>'Avail List'!I380</f>
        <v>0</v>
      </c>
      <c r="J371" s="75">
        <f>'Avail List'!J380</f>
        <v>0</v>
      </c>
      <c r="K371" s="76" t="s">
        <v>1253</v>
      </c>
    </row>
    <row r="372" spans="1:11" x14ac:dyDescent="0.25">
      <c r="A372" s="76">
        <f>'Avail List'!E381</f>
        <v>0</v>
      </c>
      <c r="B372" s="75" t="s">
        <v>15</v>
      </c>
      <c r="C372" s="75">
        <f>'Avail List'!A381</f>
        <v>0</v>
      </c>
      <c r="D372" s="77">
        <f>'Avail List'!B381</f>
        <v>0</v>
      </c>
      <c r="E372" s="77">
        <f>'Avail List'!C381</f>
        <v>0</v>
      </c>
      <c r="F372" s="75">
        <f>'Avail List'!D381</f>
        <v>0</v>
      </c>
      <c r="I372" s="78">
        <f>'Avail List'!I381</f>
        <v>0</v>
      </c>
      <c r="J372" s="75">
        <f>'Avail List'!J381</f>
        <v>0</v>
      </c>
      <c r="K372" s="76" t="s">
        <v>1254</v>
      </c>
    </row>
    <row r="373" spans="1:11" x14ac:dyDescent="0.25">
      <c r="A373" s="76">
        <f>'Avail List'!E382</f>
        <v>0</v>
      </c>
      <c r="B373" s="75" t="s">
        <v>15</v>
      </c>
      <c r="C373" s="75">
        <f>'Avail List'!A382</f>
        <v>0</v>
      </c>
      <c r="D373" s="77">
        <f>'Avail List'!B382</f>
        <v>0</v>
      </c>
      <c r="E373" s="77">
        <f>'Avail List'!C382</f>
        <v>0</v>
      </c>
      <c r="F373" s="75">
        <f>'Avail List'!D382</f>
        <v>0</v>
      </c>
      <c r="I373" s="78">
        <f>'Avail List'!I382</f>
        <v>0</v>
      </c>
      <c r="J373" s="75">
        <f>'Avail List'!J382</f>
        <v>0</v>
      </c>
      <c r="K373" s="76" t="s">
        <v>1255</v>
      </c>
    </row>
    <row r="374" spans="1:11" x14ac:dyDescent="0.25">
      <c r="A374" s="76">
        <f>'Avail List'!E383</f>
        <v>0</v>
      </c>
      <c r="B374" s="75" t="s">
        <v>15</v>
      </c>
      <c r="C374" s="75">
        <f>'Avail List'!A383</f>
        <v>0</v>
      </c>
      <c r="D374" s="77">
        <f>'Avail List'!B383</f>
        <v>0</v>
      </c>
      <c r="E374" s="77">
        <f>'Avail List'!C383</f>
        <v>0</v>
      </c>
      <c r="F374" s="75">
        <f>'Avail List'!D383</f>
        <v>0</v>
      </c>
      <c r="I374" s="78">
        <f>'Avail List'!I383</f>
        <v>0</v>
      </c>
      <c r="J374" s="75">
        <f>'Avail List'!J383</f>
        <v>0</v>
      </c>
      <c r="K374" s="76" t="s">
        <v>1256</v>
      </c>
    </row>
    <row r="375" spans="1:11" x14ac:dyDescent="0.25">
      <c r="A375" s="76">
        <f>'Avail List'!E384</f>
        <v>0</v>
      </c>
      <c r="B375" s="75" t="s">
        <v>15</v>
      </c>
      <c r="C375" s="75">
        <f>'Avail List'!A384</f>
        <v>0</v>
      </c>
      <c r="D375" s="77">
        <f>'Avail List'!B384</f>
        <v>0</v>
      </c>
      <c r="E375" s="77">
        <f>'Avail List'!C384</f>
        <v>0</v>
      </c>
      <c r="F375" s="75">
        <f>'Avail List'!D384</f>
        <v>0</v>
      </c>
      <c r="I375" s="78">
        <f>'Avail List'!I384</f>
        <v>0</v>
      </c>
      <c r="J375" s="75">
        <f>'Avail List'!J384</f>
        <v>0</v>
      </c>
      <c r="K375" s="76" t="s">
        <v>1257</v>
      </c>
    </row>
    <row r="376" spans="1:11" x14ac:dyDescent="0.25">
      <c r="A376" s="76">
        <f>'Avail List'!E385</f>
        <v>0</v>
      </c>
      <c r="B376" s="75" t="s">
        <v>15</v>
      </c>
      <c r="C376" s="75">
        <f>'Avail List'!A385</f>
        <v>0</v>
      </c>
      <c r="D376" s="77">
        <f>'Avail List'!B385</f>
        <v>0</v>
      </c>
      <c r="E376" s="77">
        <f>'Avail List'!C385</f>
        <v>0</v>
      </c>
      <c r="F376" s="75">
        <f>'Avail List'!D385</f>
        <v>0</v>
      </c>
      <c r="I376" s="78">
        <f>'Avail List'!I385</f>
        <v>0</v>
      </c>
      <c r="J376" s="75">
        <f>'Avail List'!J385</f>
        <v>0</v>
      </c>
      <c r="K376" s="76" t="s">
        <v>1258</v>
      </c>
    </row>
    <row r="377" spans="1:11" x14ac:dyDescent="0.25">
      <c r="A377" s="76">
        <f>'Avail List'!E386</f>
        <v>0</v>
      </c>
      <c r="B377" s="75" t="s">
        <v>15</v>
      </c>
      <c r="C377" s="75" t="str">
        <f>'Avail List'!A386</f>
        <v>FOR ANY PREPACK PRODUCE LINES - PLEASE USE OUR PREPACK PRODUCE AVAILABILTY LIST</v>
      </c>
      <c r="D377" s="77">
        <f>'Avail List'!B386</f>
        <v>0</v>
      </c>
      <c r="E377" s="77">
        <f>'Avail List'!C386</f>
        <v>0</v>
      </c>
      <c r="F377" s="75">
        <f>'Avail List'!D386</f>
        <v>0</v>
      </c>
      <c r="I377" s="78">
        <f>'Avail List'!I386</f>
        <v>0</v>
      </c>
      <c r="J377" s="75">
        <f>'Avail List'!J386</f>
        <v>0</v>
      </c>
      <c r="K377" s="76" t="s">
        <v>1259</v>
      </c>
    </row>
    <row r="378" spans="1:11" customFormat="1" x14ac:dyDescent="0.25">
      <c r="A378" t="s">
        <v>1260</v>
      </c>
      <c r="B378" t="s">
        <v>1261</v>
      </c>
      <c r="C378" t="s">
        <v>1262</v>
      </c>
      <c r="I378" s="126">
        <v>0.01</v>
      </c>
    </row>
    <row r="379" spans="1:11" customFormat="1" x14ac:dyDescent="0.25">
      <c r="A379" t="s">
        <v>1263</v>
      </c>
      <c r="B379" t="s">
        <v>1261</v>
      </c>
      <c r="C379" t="s">
        <v>1262</v>
      </c>
      <c r="I379" s="126">
        <v>0.01</v>
      </c>
    </row>
    <row r="380" spans="1:11" customFormat="1" x14ac:dyDescent="0.25">
      <c r="A380" t="s">
        <v>1264</v>
      </c>
      <c r="B380" t="s">
        <v>1261</v>
      </c>
      <c r="C380" t="s">
        <v>1262</v>
      </c>
      <c r="I380" s="126">
        <v>0.01</v>
      </c>
    </row>
    <row r="381" spans="1:11" customFormat="1" x14ac:dyDescent="0.25">
      <c r="A381" t="s">
        <v>1265</v>
      </c>
      <c r="B381" t="s">
        <v>1261</v>
      </c>
      <c r="C381" t="s">
        <v>1262</v>
      </c>
      <c r="I381" s="126">
        <v>0.01</v>
      </c>
    </row>
    <row r="382" spans="1:11" customFormat="1" x14ac:dyDescent="0.25">
      <c r="A382" t="s">
        <v>1266</v>
      </c>
      <c r="B382" t="s">
        <v>1261</v>
      </c>
      <c r="C382" t="s">
        <v>1262</v>
      </c>
      <c r="I382" s="126">
        <v>0.01</v>
      </c>
    </row>
    <row r="383" spans="1:11" customFormat="1" x14ac:dyDescent="0.25">
      <c r="A383" t="s">
        <v>1267</v>
      </c>
      <c r="B383" t="s">
        <v>1261</v>
      </c>
      <c r="C383" t="s">
        <v>1262</v>
      </c>
      <c r="I383" s="126">
        <v>0.01</v>
      </c>
    </row>
    <row r="384" spans="1:11" x14ac:dyDescent="0.25">
      <c r="A384" s="76"/>
      <c r="I384" s="78"/>
      <c r="J384" s="75"/>
      <c r="K384" s="76"/>
    </row>
    <row r="385" spans="1:11" x14ac:dyDescent="0.25">
      <c r="A385" s="76"/>
      <c r="I385" s="78"/>
      <c r="J385" s="75"/>
      <c r="K385" s="76"/>
    </row>
    <row r="386" spans="1:11" x14ac:dyDescent="0.25">
      <c r="A386" s="76"/>
      <c r="I386" s="78"/>
      <c r="J386" s="75"/>
      <c r="K386" s="76"/>
    </row>
    <row r="387" spans="1:11" x14ac:dyDescent="0.25">
      <c r="A387" s="76"/>
      <c r="I387" s="78"/>
      <c r="J387" s="75"/>
      <c r="K387" s="76"/>
    </row>
    <row r="388" spans="1:11" x14ac:dyDescent="0.25">
      <c r="A388" s="76"/>
      <c r="I388" s="78"/>
      <c r="J388" s="75"/>
      <c r="K388" s="76"/>
    </row>
    <row r="389" spans="1:11" x14ac:dyDescent="0.25">
      <c r="A389" s="76"/>
      <c r="I389" s="78"/>
      <c r="J389" s="75"/>
      <c r="K389" s="76"/>
    </row>
    <row r="390" spans="1:11" x14ac:dyDescent="0.25">
      <c r="A390" s="76"/>
      <c r="I390" s="78"/>
      <c r="J390" s="75"/>
      <c r="K390" s="76"/>
    </row>
    <row r="391" spans="1:11" x14ac:dyDescent="0.25">
      <c r="A391" s="76"/>
      <c r="I391" s="78"/>
      <c r="J391" s="75"/>
      <c r="K391" s="76"/>
    </row>
    <row r="392" spans="1:11" x14ac:dyDescent="0.25">
      <c r="A392" s="76"/>
      <c r="I392" s="78"/>
      <c r="J392" s="75"/>
      <c r="K392" s="76"/>
    </row>
    <row r="393" spans="1:11" x14ac:dyDescent="0.25">
      <c r="A393" s="76"/>
      <c r="I393" s="78"/>
      <c r="J393" s="75"/>
      <c r="K393" s="76"/>
    </row>
    <row r="394" spans="1:11" x14ac:dyDescent="0.25">
      <c r="A394" s="76"/>
      <c r="I394" s="78"/>
      <c r="J394" s="75"/>
      <c r="K394" s="76"/>
    </row>
    <row r="395" spans="1:11" x14ac:dyDescent="0.25">
      <c r="A395" s="76"/>
      <c r="I395" s="78"/>
      <c r="J395" s="75"/>
      <c r="K395" s="76"/>
    </row>
    <row r="396" spans="1:11" x14ac:dyDescent="0.25">
      <c r="A396" s="76"/>
      <c r="I396" s="78"/>
      <c r="J396" s="75"/>
      <c r="K396" s="76"/>
    </row>
    <row r="397" spans="1:11" x14ac:dyDescent="0.25">
      <c r="A397" s="76"/>
      <c r="I397" s="78"/>
      <c r="J397" s="75"/>
      <c r="K397" s="76"/>
    </row>
    <row r="398" spans="1:11" x14ac:dyDescent="0.25">
      <c r="A398" s="76"/>
      <c r="I398" s="78"/>
      <c r="J398" s="75"/>
      <c r="K398" s="76"/>
    </row>
    <row r="399" spans="1:11" x14ac:dyDescent="0.25">
      <c r="A399" s="76"/>
      <c r="I399" s="78"/>
      <c r="J399" s="75"/>
      <c r="K399" s="76"/>
    </row>
    <row r="400" spans="1:11" x14ac:dyDescent="0.25">
      <c r="A400" s="76"/>
      <c r="I400" s="78"/>
      <c r="J400" s="75"/>
      <c r="K400" s="76"/>
    </row>
    <row r="401" spans="1:11" x14ac:dyDescent="0.25">
      <c r="A401" s="76"/>
      <c r="I401" s="78"/>
      <c r="J401" s="75"/>
      <c r="K401" s="76"/>
    </row>
    <row r="402" spans="1:11" x14ac:dyDescent="0.25">
      <c r="A402" s="76"/>
      <c r="I402" s="78"/>
      <c r="J402" s="75"/>
      <c r="K402" s="76"/>
    </row>
    <row r="403" spans="1:11" x14ac:dyDescent="0.25">
      <c r="A403" s="76"/>
      <c r="I403" s="78"/>
      <c r="J403" s="75"/>
      <c r="K403" s="76"/>
    </row>
    <row r="404" spans="1:11" x14ac:dyDescent="0.25">
      <c r="A404" s="76"/>
      <c r="I404" s="78"/>
      <c r="J404" s="75"/>
      <c r="K404" s="76"/>
    </row>
    <row r="405" spans="1:11" x14ac:dyDescent="0.25">
      <c r="A405" s="76"/>
      <c r="I405" s="78"/>
      <c r="J405" s="75"/>
      <c r="K405" s="76"/>
    </row>
    <row r="406" spans="1:11" x14ac:dyDescent="0.25">
      <c r="A406" s="76"/>
      <c r="I406" s="78"/>
      <c r="J406" s="75"/>
      <c r="K406" s="76"/>
    </row>
    <row r="407" spans="1:11" x14ac:dyDescent="0.25">
      <c r="A407" s="76"/>
      <c r="I407" s="78"/>
      <c r="J407" s="75"/>
      <c r="K407" s="76"/>
    </row>
    <row r="408" spans="1:11" x14ac:dyDescent="0.25">
      <c r="A408" s="76"/>
      <c r="I408" s="78"/>
      <c r="J408" s="75"/>
      <c r="K408" s="76"/>
    </row>
    <row r="409" spans="1:11" x14ac:dyDescent="0.25">
      <c r="A409" s="76"/>
      <c r="I409" s="78"/>
      <c r="J409" s="75"/>
      <c r="K409" s="76"/>
    </row>
    <row r="410" spans="1:11" x14ac:dyDescent="0.25">
      <c r="A410" s="76"/>
      <c r="I410" s="78"/>
      <c r="J410" s="75"/>
      <c r="K410" s="76"/>
    </row>
    <row r="411" spans="1:11" x14ac:dyDescent="0.25">
      <c r="A411" s="76"/>
      <c r="I411" s="78"/>
      <c r="J411" s="75"/>
      <c r="K411" s="76"/>
    </row>
    <row r="412" spans="1:11" x14ac:dyDescent="0.25">
      <c r="A412" s="76"/>
      <c r="I412" s="78"/>
      <c r="J412" s="75"/>
      <c r="K412" s="76"/>
    </row>
    <row r="413" spans="1:11" x14ac:dyDescent="0.25">
      <c r="A413" s="76"/>
      <c r="I413" s="78"/>
      <c r="J413" s="75"/>
      <c r="K413" s="76"/>
    </row>
    <row r="414" spans="1:11" x14ac:dyDescent="0.25">
      <c r="A414" s="76"/>
      <c r="I414" s="78"/>
      <c r="J414" s="75"/>
      <c r="K414" s="76"/>
    </row>
    <row r="415" spans="1:11" x14ac:dyDescent="0.25">
      <c r="A415" s="76"/>
      <c r="I415" s="78"/>
      <c r="J415" s="75"/>
      <c r="K415" s="76"/>
    </row>
    <row r="416" spans="1:11" x14ac:dyDescent="0.25">
      <c r="A416" s="76"/>
      <c r="I416" s="78"/>
      <c r="J416" s="75"/>
      <c r="K416" s="76"/>
    </row>
    <row r="417" spans="1:11" x14ac:dyDescent="0.25">
      <c r="A417" s="76"/>
      <c r="I417" s="78"/>
      <c r="J417" s="75"/>
      <c r="K417" s="76"/>
    </row>
    <row r="418" spans="1:11" x14ac:dyDescent="0.25">
      <c r="A418" s="76"/>
      <c r="I418" s="78"/>
      <c r="J418" s="75"/>
      <c r="K418" s="76"/>
    </row>
    <row r="419" spans="1:11" x14ac:dyDescent="0.25">
      <c r="A419" s="76"/>
      <c r="I419" s="78"/>
      <c r="J419" s="75"/>
      <c r="K419" s="76"/>
    </row>
    <row r="420" spans="1:11" x14ac:dyDescent="0.25">
      <c r="A420" s="76"/>
      <c r="I420" s="78"/>
      <c r="J420" s="75"/>
      <c r="K420" s="76"/>
    </row>
    <row r="421" spans="1:11" x14ac:dyDescent="0.25">
      <c r="A421" s="76"/>
      <c r="I421" s="78"/>
      <c r="J421" s="75"/>
      <c r="K421" s="76"/>
    </row>
    <row r="422" spans="1:11" x14ac:dyDescent="0.25">
      <c r="A422" s="76"/>
      <c r="I422" s="78"/>
      <c r="J422" s="75"/>
      <c r="K422" s="76"/>
    </row>
    <row r="423" spans="1:11" x14ac:dyDescent="0.25">
      <c r="A423" s="76"/>
      <c r="I423" s="78"/>
      <c r="J423" s="75"/>
      <c r="K423" s="76"/>
    </row>
    <row r="424" spans="1:11" x14ac:dyDescent="0.25">
      <c r="A424" s="76"/>
      <c r="I424" s="78"/>
      <c r="J424" s="75"/>
      <c r="K424" s="76"/>
    </row>
    <row r="425" spans="1:11" x14ac:dyDescent="0.25">
      <c r="A425" s="76"/>
      <c r="I425" s="78"/>
      <c r="J425" s="75"/>
      <c r="K425" s="76"/>
    </row>
    <row r="426" spans="1:11" x14ac:dyDescent="0.25">
      <c r="A426" s="76"/>
      <c r="I426" s="78"/>
      <c r="J426" s="75"/>
      <c r="K426" s="76"/>
    </row>
    <row r="427" spans="1:11" x14ac:dyDescent="0.25">
      <c r="A427" s="76"/>
      <c r="I427" s="78"/>
      <c r="J427" s="75"/>
      <c r="K427" s="76"/>
    </row>
    <row r="428" spans="1:11" x14ac:dyDescent="0.25">
      <c r="A428" s="76"/>
      <c r="I428" s="78"/>
      <c r="J428" s="75"/>
      <c r="K428" s="76"/>
    </row>
    <row r="429" spans="1:11" x14ac:dyDescent="0.25">
      <c r="A429" s="76"/>
      <c r="I429" s="78"/>
      <c r="J429" s="75"/>
      <c r="K429" s="76"/>
    </row>
    <row r="430" spans="1:11" x14ac:dyDescent="0.25">
      <c r="A430" s="76"/>
      <c r="I430" s="78"/>
      <c r="J430" s="75"/>
      <c r="K430" s="76"/>
    </row>
    <row r="431" spans="1:11" x14ac:dyDescent="0.25">
      <c r="A431" s="76"/>
      <c r="I431" s="78"/>
      <c r="J431" s="75"/>
      <c r="K431" s="76"/>
    </row>
    <row r="432" spans="1:11" x14ac:dyDescent="0.25">
      <c r="A432" s="76"/>
      <c r="I432" s="78"/>
      <c r="J432" s="75"/>
      <c r="K432" s="76"/>
    </row>
    <row r="433" spans="1:11" x14ac:dyDescent="0.25">
      <c r="A433" s="76"/>
      <c r="I433" s="78"/>
      <c r="J433" s="75"/>
      <c r="K433" s="76"/>
    </row>
    <row r="434" spans="1:11" x14ac:dyDescent="0.25">
      <c r="A434" s="76"/>
      <c r="I434" s="78"/>
      <c r="J434" s="75"/>
      <c r="K434" s="76"/>
    </row>
    <row r="435" spans="1:11" x14ac:dyDescent="0.25">
      <c r="A435" s="76"/>
      <c r="I435" s="78"/>
      <c r="J435" s="75"/>
      <c r="K435" s="76"/>
    </row>
    <row r="436" spans="1:11" x14ac:dyDescent="0.25">
      <c r="A436" s="76"/>
      <c r="I436" s="78"/>
      <c r="J436" s="75"/>
      <c r="K436" s="76"/>
    </row>
    <row r="437" spans="1:11" x14ac:dyDescent="0.25">
      <c r="A437" s="76"/>
      <c r="I437" s="78"/>
      <c r="J437" s="75"/>
      <c r="K437" s="76"/>
    </row>
    <row r="438" spans="1:11" x14ac:dyDescent="0.25">
      <c r="A438" s="76"/>
      <c r="I438" s="78"/>
      <c r="J438" s="75"/>
      <c r="K438" s="76"/>
    </row>
    <row r="439" spans="1:11" x14ac:dyDescent="0.25">
      <c r="A439" s="76"/>
      <c r="I439" s="78"/>
      <c r="J439" s="75"/>
      <c r="K439" s="7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195F5DF812634DA24CB041992651C4" ma:contentTypeVersion="15" ma:contentTypeDescription="Create a new document." ma:contentTypeScope="" ma:versionID="9b02f26979cdab8f2d8a0343b2093034">
  <xsd:schema xmlns:xsd="http://www.w3.org/2001/XMLSchema" xmlns:xs="http://www.w3.org/2001/XMLSchema" xmlns:p="http://schemas.microsoft.com/office/2006/metadata/properties" xmlns:ns2="a23c07d3-259b-48b3-b067-018d5eef64e3" xmlns:ns3="97b1d19d-57f1-474a-8af9-07bc42d2d0e8" targetNamespace="http://schemas.microsoft.com/office/2006/metadata/properties" ma:root="true" ma:fieldsID="09891e7835b89f6751ad09171fc27b44" ns2:_="" ns3:_="">
    <xsd:import namespace="a23c07d3-259b-48b3-b067-018d5eef64e3"/>
    <xsd:import namespace="97b1d19d-57f1-474a-8af9-07bc42d2d0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c07d3-259b-48b3-b067-018d5eef6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269bf7a-7530-4933-ad2a-c839dc9a1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b1d19d-57f1-474a-8af9-07bc42d2d0e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d2ebea5-d122-4c6d-872d-98a227726080}" ma:internalName="TaxCatchAll" ma:showField="CatchAllData" ma:web="97b1d19d-57f1-474a-8af9-07bc42d2d0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3c07d3-259b-48b3-b067-018d5eef64e3">
      <Terms xmlns="http://schemas.microsoft.com/office/infopath/2007/PartnerControls"/>
    </lcf76f155ced4ddcb4097134ff3c332f>
    <TaxCatchAll xmlns="97b1d19d-57f1-474a-8af9-07bc42d2d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A230A1-72F3-40A0-BECE-0001BF3A70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3c07d3-259b-48b3-b067-018d5eef64e3"/>
    <ds:schemaRef ds:uri="97b1d19d-57f1-474a-8af9-07bc42d2d0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4D6745-360A-43BD-B9B5-9D91EFBD1345}">
  <ds:schemaRefs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a23c07d3-259b-48b3-b067-018d5eef64e3"/>
    <ds:schemaRef ds:uri="http://purl.org/dc/elements/1.1/"/>
    <ds:schemaRef ds:uri="http://schemas.microsoft.com/office/2006/documentManagement/types"/>
    <ds:schemaRef ds:uri="97b1d19d-57f1-474a-8af9-07bc42d2d0e8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BA2E2E1-8769-4865-BCDE-8A86D62E59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Avail List</vt:lpstr>
      <vt:lpstr>Office Use Only &gt;&gt;</vt:lpstr>
      <vt:lpstr>B1 B2B</vt:lpstr>
      <vt:lpstr>'Avail List'!Print_Area</vt:lpstr>
      <vt:lpstr>'Avail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ECOB2</dc:creator>
  <cp:keywords/>
  <dc:description/>
  <cp:lastModifiedBy>Tarni Finnigan</cp:lastModifiedBy>
  <cp:revision/>
  <cp:lastPrinted>2026-08-21T10:00:37Z</cp:lastPrinted>
  <dcterms:created xsi:type="dcterms:W3CDTF">2021-11-23T00:32:45Z</dcterms:created>
  <dcterms:modified xsi:type="dcterms:W3CDTF">2026-08-21T10:04:22Z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0x010100ED195F5DF812634DA24CB041992651C4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lcf76f155ced4ddcb4097134ff3c332f">
    <vt:lpwstr/>
  </property>
</Properties>
</file>